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사용법" sheetId="1" state="visible" r:id="rId3"/>
    <sheet name="프로젝트목록" sheetId="2" state="visible" r:id="rId4"/>
    <sheet name="거래내역" sheetId="3" state="visible" r:id="rId5"/>
    <sheet name="카테고리" sheetId="4" state="visible" r:id="rId6"/>
    <sheet name="연간요약" sheetId="5" state="visible" r:id="rId7"/>
    <sheet name="대시보드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<sst xmlns="http://schemas.openxmlformats.org/spreadsheetml/2006/main" count="126" uniqueCount="90">
  <si>
    <r>
      <rPr>
        <b val="true"/>
        <sz val="18"/>
        <color rgb="FF4E2C79"/>
        <rFont val="Noto Sans CJK SC"/>
        <family val="2"/>
      </rPr>
      <t xml:space="preserve">프로젝트별 </t>
    </r>
    <r>
      <rPr>
        <b val="true"/>
        <sz val="18"/>
        <color rgb="FF4E2C79"/>
        <rFont val="Arial"/>
        <family val="0"/>
        <charset val="1"/>
      </rPr>
      <t xml:space="preserve">P&amp;L </t>
    </r>
    <r>
      <rPr>
        <b val="true"/>
        <sz val="18"/>
        <color rgb="FF4E2C79"/>
        <rFont val="Noto Sans CJK SC"/>
        <family val="2"/>
      </rPr>
      <t xml:space="preserve">관리대장 — 사용 안내</t>
    </r>
  </si>
  <si>
    <r>
      <rPr>
        <sz val="11"/>
        <color rgb="FF241B35"/>
        <rFont val="Arial"/>
        <family val="0"/>
        <charset val="1"/>
      </rPr>
      <t xml:space="preserve">2026</t>
    </r>
    <r>
      <rPr>
        <sz val="11"/>
        <color rgb="FF241B35"/>
        <rFont val="Noto Sans CJK SC"/>
        <family val="2"/>
      </rPr>
      <t xml:space="preserve">년부터 매년 누적 관리하는 프로젝트별 손익</t>
    </r>
    <r>
      <rPr>
        <sz val="11"/>
        <color rgb="FF241B35"/>
        <rFont val="Arial"/>
        <family val="0"/>
        <charset val="1"/>
      </rPr>
      <t xml:space="preserve">(</t>
    </r>
    <r>
      <rPr>
        <sz val="11"/>
        <color rgb="FF241B35"/>
        <rFont val="Noto Sans CJK SC"/>
        <family val="2"/>
      </rPr>
      <t xml:space="preserve">수익</t>
    </r>
    <r>
      <rPr>
        <sz val="11"/>
        <color rgb="FF241B35"/>
        <rFont val="Arial"/>
        <family val="0"/>
        <charset val="1"/>
      </rPr>
      <t xml:space="preserve">-</t>
    </r>
    <r>
      <rPr>
        <sz val="11"/>
        <color rgb="FF241B35"/>
        <rFont val="Noto Sans CJK SC"/>
        <family val="2"/>
      </rPr>
      <t xml:space="preserve">비용</t>
    </r>
    <r>
      <rPr>
        <sz val="11"/>
        <color rgb="FF241B35"/>
        <rFont val="Arial"/>
        <family val="0"/>
        <charset val="1"/>
      </rPr>
      <t xml:space="preserve">) </t>
    </r>
    <r>
      <rPr>
        <sz val="11"/>
        <color rgb="FF241B35"/>
        <rFont val="Noto Sans CJK SC"/>
        <family val="2"/>
      </rPr>
      <t xml:space="preserve">관리 파일입니다</t>
    </r>
    <r>
      <rPr>
        <sz val="11"/>
        <color rgb="FF241B35"/>
        <rFont val="Arial"/>
        <family val="0"/>
        <charset val="1"/>
      </rPr>
      <t xml:space="preserve">.</t>
    </r>
  </si>
  <si>
    <t xml:space="preserve">① 시트 구성</t>
  </si>
  <si>
    <r>
      <rPr>
        <sz val="11"/>
        <color rgb="FF241B35"/>
        <rFont val="Arial"/>
        <family val="0"/>
        <charset val="1"/>
      </rPr>
      <t xml:space="preserve">· </t>
    </r>
    <r>
      <rPr>
        <sz val="11"/>
        <color rgb="FF241B35"/>
        <rFont val="Noto Sans CJK SC"/>
        <family val="2"/>
      </rPr>
      <t xml:space="preserve">프로젝트목록 — 진행한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진행중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진행예정 프로젝트를 한 줄씩 등록합니다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</si>
  <si>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· </t>
    </r>
    <r>
      <rPr>
        <sz val="11"/>
        <color rgb="FF241B35"/>
        <rFont val="Noto Sans CJK SC"/>
        <family val="2"/>
      </rPr>
      <t xml:space="preserve">거래내역 — 프로젝트별 수익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비용을 발생 건별로 입력하는 원장</t>
    </r>
    <r>
      <rPr>
        <sz val="11"/>
        <color rgb="FF241B35"/>
        <rFont val="Arial"/>
        <family val="0"/>
        <charset val="1"/>
      </rPr>
      <t xml:space="preserve">(ledger)</t>
    </r>
    <r>
      <rPr>
        <sz val="11"/>
        <color rgb="FF241B35"/>
        <rFont val="Noto Sans CJK SC"/>
        <family val="2"/>
      </rPr>
      <t xml:space="preserve">입니다</t>
    </r>
    <r>
      <rPr>
        <sz val="11"/>
        <color rgb="FF241B35"/>
        <rFont val="Arial"/>
        <family val="0"/>
        <charset val="1"/>
      </rPr>
      <t xml:space="preserve">. </t>
    </r>
    <r>
      <rPr>
        <sz val="11"/>
        <color rgb="FF241B35"/>
        <rFont val="Noto Sans CJK SC"/>
        <family val="2"/>
      </rPr>
      <t xml:space="preserve">실제로 입력하는 곳은 이 시트뿐입니다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</si>
  <si>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· </t>
    </r>
    <r>
      <rPr>
        <sz val="11"/>
        <color rgb="FF241B35"/>
        <rFont val="Noto Sans CJK SC"/>
        <family val="2"/>
      </rPr>
      <t xml:space="preserve">카테고리 — 드롭다운 목록의 원본 데이터입니다</t>
    </r>
    <r>
      <rPr>
        <sz val="11"/>
        <color rgb="FF241B35"/>
        <rFont val="Arial"/>
        <family val="0"/>
        <charset val="1"/>
      </rPr>
      <t xml:space="preserve">. </t>
    </r>
    <r>
      <rPr>
        <sz val="11"/>
        <color rgb="FF241B35"/>
        <rFont val="Noto Sans CJK SC"/>
        <family val="2"/>
      </rPr>
      <t xml:space="preserve">수정하지 마세요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</si>
  <si>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· </t>
    </r>
    <r>
      <rPr>
        <sz val="11"/>
        <color rgb="FF241B35"/>
        <rFont val="Noto Sans CJK SC"/>
        <family val="2"/>
      </rPr>
      <t xml:space="preserve">연간요약 — 프로젝트 </t>
    </r>
    <r>
      <rPr>
        <sz val="11"/>
        <color rgb="FF241B35"/>
        <rFont val="Arial"/>
        <family val="0"/>
        <charset val="1"/>
      </rPr>
      <t xml:space="preserve">× </t>
    </r>
    <r>
      <rPr>
        <sz val="11"/>
        <color rgb="FF241B35"/>
        <rFont val="Noto Sans CJK SC"/>
        <family val="2"/>
      </rPr>
      <t xml:space="preserve">연도별 매출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비용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순이익이 자동 계산되는 표입니다</t>
    </r>
    <r>
      <rPr>
        <sz val="11"/>
        <color rgb="FF241B35"/>
        <rFont val="Arial"/>
        <family val="0"/>
        <charset val="1"/>
      </rPr>
      <t xml:space="preserve">. (</t>
    </r>
    <r>
      <rPr>
        <sz val="11"/>
        <color rgb="FF241B35"/>
        <rFont val="Noto Sans CJK SC"/>
        <family val="2"/>
      </rPr>
      <t xml:space="preserve">수식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편집 금지</t>
    </r>
    <r>
      <rPr>
        <sz val="11"/>
        <color rgb="FF241B35"/>
        <rFont val="Arial"/>
        <family val="0"/>
        <charset val="1"/>
      </rPr>
      <t xml:space="preserve">)</t>
    </r>
  </si>
  <si>
    <r>
      <rPr>
        <sz val="11"/>
        <color rgb="FF241B35"/>
        <rFont val="Arial"/>
        <family val="0"/>
        <charset val="1"/>
      </rPr>
      <t xml:space="preserve">· </t>
    </r>
    <r>
      <rPr>
        <sz val="11"/>
        <color rgb="FF241B35"/>
        <rFont val="Noto Sans CJK SC"/>
        <family val="2"/>
      </rPr>
      <t xml:space="preserve">대시보드 — 전체 </t>
    </r>
    <r>
      <rPr>
        <sz val="11"/>
        <color rgb="FF241B35"/>
        <rFont val="Arial"/>
        <family val="0"/>
        <charset val="1"/>
      </rPr>
      <t xml:space="preserve">KPI</t>
    </r>
    <r>
      <rPr>
        <sz val="11"/>
        <color rgb="FF241B35"/>
        <rFont val="Noto Sans CJK SC"/>
        <family val="2"/>
      </rPr>
      <t xml:space="preserve">와 그래프를 자동으로 보여줍니다</t>
    </r>
    <r>
      <rPr>
        <sz val="11"/>
        <color rgb="FF241B35"/>
        <rFont val="Arial"/>
        <family val="0"/>
        <charset val="1"/>
      </rPr>
      <t xml:space="preserve">. (</t>
    </r>
    <r>
      <rPr>
        <sz val="11"/>
        <color rgb="FF241B35"/>
        <rFont val="Noto Sans CJK SC"/>
        <family val="2"/>
      </rPr>
      <t xml:space="preserve">수식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편집 금지</t>
    </r>
    <r>
      <rPr>
        <sz val="11"/>
        <color rgb="FF241B35"/>
        <rFont val="Arial"/>
        <family val="0"/>
        <charset val="1"/>
      </rPr>
      <t xml:space="preserve">)</t>
    </r>
  </si>
  <si>
    <t xml:space="preserve">② 입력 방법</t>
  </si>
  <si>
    <r>
      <rPr>
        <sz val="11"/>
        <color rgb="FF241B35"/>
        <rFont val="Arial"/>
        <family val="0"/>
        <charset val="1"/>
      </rPr>
      <t xml:space="preserve">1. </t>
    </r>
    <r>
      <rPr>
        <sz val="11"/>
        <color rgb="FF241B35"/>
        <rFont val="Noto Sans CJK SC"/>
        <family val="2"/>
      </rPr>
      <t xml:space="preserve">프로젝트목록 시트에 프로젝트를 등록합니다</t>
    </r>
    <r>
      <rPr>
        <sz val="11"/>
        <color rgb="FF241B35"/>
        <rFont val="Arial"/>
        <family val="0"/>
        <charset val="1"/>
      </rPr>
      <t xml:space="preserve">. (</t>
    </r>
    <r>
      <rPr>
        <sz val="11"/>
        <color rgb="FF241B35"/>
        <rFont val="Noto Sans CJK SC"/>
        <family val="2"/>
      </rPr>
      <t xml:space="preserve">프로젝트명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상태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시작일 등</t>
    </r>
    <r>
      <rPr>
        <sz val="11"/>
        <color rgb="FF241B35"/>
        <rFont val="Arial"/>
        <family val="0"/>
        <charset val="1"/>
      </rPr>
      <t xml:space="preserve">)</t>
    </r>
  </si>
  <si>
    <r>
      <rPr>
        <sz val="11"/>
        <color rgb="FF241B35"/>
        <rFont val="Arial"/>
        <family val="0"/>
        <charset val="1"/>
      </rPr>
      <t xml:space="preserve">2. </t>
    </r>
    <r>
      <rPr>
        <sz val="11"/>
        <color rgb="FF241B35"/>
        <rFont val="Noto Sans CJK SC"/>
        <family val="2"/>
      </rPr>
      <t xml:space="preserve">거래내역 시트에 날짜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프로젝트명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카테고리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항목명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금액을 한 줄씩 입력합니다</t>
    </r>
    <r>
      <rPr>
        <sz val="11"/>
        <color rgb="FF241B35"/>
        <rFont val="Arial"/>
        <family val="0"/>
        <charset val="1"/>
      </rPr>
      <t xml:space="preserve">. </t>
    </r>
    <r>
      <rPr>
        <sz val="11"/>
        <color rgb="FF241B35"/>
        <rFont val="Noto Sans CJK SC"/>
        <family val="2"/>
      </rPr>
      <t xml:space="preserve">프로젝트명과 카테고리는 드롭다운으로 선택하세요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</si>
  <si>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3. </t>
    </r>
    <r>
      <rPr>
        <sz val="11"/>
        <color rgb="FF241B35"/>
        <rFont val="Noto Sans CJK SC"/>
        <family val="2"/>
      </rPr>
      <t xml:space="preserve">금액은 수익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비용 모두 양수</t>
    </r>
    <r>
      <rPr>
        <sz val="11"/>
        <color rgb="FF241B35"/>
        <rFont val="Arial"/>
        <family val="0"/>
        <charset val="1"/>
      </rPr>
      <t xml:space="preserve">(+)</t>
    </r>
    <r>
      <rPr>
        <sz val="11"/>
        <color rgb="FF241B35"/>
        <rFont val="Noto Sans CJK SC"/>
        <family val="2"/>
      </rPr>
      <t xml:space="preserve">로 입력합니다</t>
    </r>
    <r>
      <rPr>
        <sz val="11"/>
        <color rgb="FF241B35"/>
        <rFont val="Arial"/>
        <family val="0"/>
        <charset val="1"/>
      </rPr>
      <t xml:space="preserve">. </t>
    </r>
    <r>
      <rPr>
        <sz val="11"/>
        <color rgb="FF241B35"/>
        <rFont val="Noto Sans CJK SC"/>
        <family val="2"/>
      </rPr>
      <t xml:space="preserve">수익인지 비용인지는 </t>
    </r>
    <r>
      <rPr>
        <sz val="11"/>
        <color rgb="FF241B35"/>
        <rFont val="Arial"/>
        <family val="0"/>
        <charset val="1"/>
      </rPr>
      <t xml:space="preserve">'</t>
    </r>
    <r>
      <rPr>
        <sz val="11"/>
        <color rgb="FF241B35"/>
        <rFont val="Noto Sans CJK SC"/>
        <family val="2"/>
      </rPr>
      <t xml:space="preserve">카테고리</t>
    </r>
    <r>
      <rPr>
        <sz val="11"/>
        <color rgb="FF241B35"/>
        <rFont val="Arial"/>
        <family val="0"/>
        <charset val="1"/>
      </rPr>
      <t xml:space="preserve">'</t>
    </r>
    <r>
      <rPr>
        <sz val="11"/>
        <color rgb="FF241B35"/>
        <rFont val="Noto Sans CJK SC"/>
        <family val="2"/>
      </rPr>
      <t xml:space="preserve">에 따라 자동으로 구분됩니다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</si>
  <si>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4. </t>
    </r>
    <r>
      <rPr>
        <sz val="11"/>
        <color rgb="FF241B35"/>
        <rFont val="Noto Sans CJK SC"/>
        <family val="2"/>
      </rPr>
      <t xml:space="preserve">연간요약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대시보드 시트는 입력한 내용을 바탕으로 자동 계산되므로 따로 손댈 필요가 없습니다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</si>
  <si>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Arial"/>
        <family val="0"/>
        <charset val="1"/>
      </rPr>
      <t xml:space="preserve">5. </t>
    </r>
    <r>
      <rPr>
        <sz val="11"/>
        <color rgb="FF241B35"/>
        <rFont val="Noto Sans CJK SC"/>
        <family val="2"/>
      </rPr>
      <t xml:space="preserve">이 파일은 매년 새로 만들지 않고 같은 파일에 계속 이어서 입력하면 됩니다</t>
    </r>
    <r>
      <rPr>
        <sz val="11"/>
        <color rgb="FF241B35"/>
        <rFont val="Arial"/>
        <family val="0"/>
        <charset val="1"/>
      </rPr>
      <t xml:space="preserve">. </t>
    </r>
    <r>
      <rPr>
        <sz val="11"/>
        <color rgb="FF241B35"/>
        <rFont val="Noto Sans CJK SC"/>
        <family val="2"/>
      </rPr>
      <t xml:space="preserve">연도는 날짜에서 자동으로 계산됩니다</t>
    </r>
    <r>
      <rPr>
        <sz val="11"/>
        <color rgb="FF241B35"/>
        <rFont val="Arial"/>
        <family val="0"/>
        <charset val="1"/>
      </rPr>
      <t xml:space="preserve">.</t>
    </r>
  </si>
  <si>
    <t xml:space="preserve">③ 색상 규칙</t>
  </si>
  <si>
    <r>
      <rPr>
        <sz val="11"/>
        <color rgb="FF0000FF"/>
        <rFont val="Noto Sans CJK SC"/>
        <family val="2"/>
      </rPr>
      <t xml:space="preserve">파란색 글자 </t>
    </r>
    <r>
      <rPr>
        <sz val="11"/>
        <color rgb="FF0000FF"/>
        <rFont val="Arial"/>
        <family val="0"/>
        <charset val="1"/>
      </rPr>
      <t xml:space="preserve">= </t>
    </r>
    <r>
      <rPr>
        <sz val="11"/>
        <color rgb="FF0000FF"/>
        <rFont val="Noto Sans CJK SC"/>
        <family val="2"/>
      </rPr>
      <t xml:space="preserve">직접 입력하는 셀</t>
    </r>
  </si>
  <si>
    <r>
      <rPr>
        <sz val="11"/>
        <color rgb="FF000000"/>
        <rFont val="Noto Sans CJK SC"/>
        <family val="2"/>
      </rPr>
      <t xml:space="preserve">검정색 글자 </t>
    </r>
    <r>
      <rPr>
        <sz val="11"/>
        <color rgb="FF000000"/>
        <rFont val="Arial"/>
        <family val="0"/>
        <charset val="1"/>
      </rPr>
      <t xml:space="preserve">= </t>
    </r>
    <r>
      <rPr>
        <sz val="11"/>
        <color rgb="FF000000"/>
        <rFont val="Noto Sans CJK SC"/>
        <family val="2"/>
      </rPr>
      <t xml:space="preserve">자동 계산되는 수식 셀 </t>
    </r>
    <r>
      <rPr>
        <sz val="11"/>
        <color rgb="FF000000"/>
        <rFont val="Arial"/>
        <family val="0"/>
        <charset val="1"/>
      </rPr>
      <t xml:space="preserve">(</t>
    </r>
    <r>
      <rPr>
        <sz val="11"/>
        <color rgb="FF000000"/>
        <rFont val="Noto Sans CJK SC"/>
        <family val="2"/>
      </rPr>
      <t xml:space="preserve">수정 금지</t>
    </r>
    <r>
      <rPr>
        <sz val="11"/>
        <color rgb="FF000000"/>
        <rFont val="Arial"/>
        <family val="0"/>
        <charset val="1"/>
      </rPr>
      <t xml:space="preserve">)</t>
    </r>
  </si>
  <si>
    <r>
      <rPr>
        <sz val="11"/>
        <color rgb="FF008000"/>
        <rFont val="Noto Sans CJK SC"/>
        <family val="2"/>
      </rPr>
      <t xml:space="preserve">초록색 글자 </t>
    </r>
    <r>
      <rPr>
        <sz val="11"/>
        <color rgb="FF008000"/>
        <rFont val="Arial"/>
        <family val="0"/>
        <charset val="1"/>
      </rPr>
      <t xml:space="preserve">= </t>
    </r>
    <r>
      <rPr>
        <sz val="11"/>
        <color rgb="FF008000"/>
        <rFont val="Noto Sans CJK SC"/>
        <family val="2"/>
      </rPr>
      <t xml:space="preserve">다른 시트를 참조하는 수식 셀 </t>
    </r>
    <r>
      <rPr>
        <sz val="11"/>
        <color rgb="FF008000"/>
        <rFont val="Arial"/>
        <family val="0"/>
        <charset val="1"/>
      </rPr>
      <t xml:space="preserve">(</t>
    </r>
    <r>
      <rPr>
        <sz val="11"/>
        <color rgb="FF008000"/>
        <rFont val="Noto Sans CJK SC"/>
        <family val="2"/>
      </rPr>
      <t xml:space="preserve">수정 금지</t>
    </r>
    <r>
      <rPr>
        <sz val="11"/>
        <color rgb="FF008000"/>
        <rFont val="Arial"/>
        <family val="0"/>
        <charset val="1"/>
      </rPr>
      <t xml:space="preserve">)</t>
    </r>
  </si>
  <si>
    <r>
      <rPr>
        <sz val="11"/>
        <rFont val="Noto Sans CJK SC"/>
        <family val="2"/>
      </rPr>
      <t xml:space="preserve">노란색 배경 </t>
    </r>
    <r>
      <rPr>
        <sz val="11"/>
        <rFont val="Arial"/>
        <family val="0"/>
        <charset val="1"/>
      </rPr>
      <t xml:space="preserve">= </t>
    </r>
    <r>
      <rPr>
        <sz val="11"/>
        <rFont val="Noto Sans CJK SC"/>
        <family val="2"/>
      </rPr>
      <t xml:space="preserve">예시로 채워둔 행입니다</t>
    </r>
    <r>
      <rPr>
        <sz val="11"/>
        <rFont val="Arial"/>
        <family val="0"/>
        <charset val="1"/>
      </rPr>
      <t xml:space="preserve">. </t>
    </r>
    <r>
      <rPr>
        <sz val="11"/>
        <rFont val="Noto Sans CJK SC"/>
        <family val="2"/>
      </rPr>
      <t xml:space="preserve">실제 데이터로 덮어쓰거나 삭제 후 사용하세요</t>
    </r>
    <r>
      <rPr>
        <sz val="11"/>
        <rFont val="Arial"/>
        <family val="0"/>
        <charset val="1"/>
      </rPr>
      <t xml:space="preserve">.</t>
    </r>
  </si>
  <si>
    <t xml:space="preserve">④ 온라인 대시보드와 연동</t>
  </si>
  <si>
    <r>
      <rPr>
        <sz val="11"/>
        <color rgb="FF241B35"/>
        <rFont val="Noto Sans CJK SC"/>
        <family val="2"/>
      </rPr>
      <t xml:space="preserve">함께 전달된 </t>
    </r>
    <r>
      <rPr>
        <sz val="11"/>
        <color rgb="FF241B35"/>
        <rFont val="Arial"/>
        <family val="0"/>
        <charset val="1"/>
      </rPr>
      <t xml:space="preserve">'P&amp;L </t>
    </r>
    <r>
      <rPr>
        <sz val="11"/>
        <color rgb="FF241B35"/>
        <rFont val="Noto Sans CJK SC"/>
        <family val="2"/>
      </rPr>
      <t xml:space="preserve">온라인 대시보드</t>
    </r>
    <r>
      <rPr>
        <sz val="11"/>
        <color rgb="FF241B35"/>
        <rFont val="Arial"/>
        <family val="0"/>
        <charset val="1"/>
      </rPr>
      <t xml:space="preserve">.html' </t>
    </r>
    <r>
      <rPr>
        <sz val="11"/>
        <color rgb="FF241B35"/>
        <rFont val="Noto Sans CJK SC"/>
        <family val="2"/>
      </rPr>
      <t xml:space="preserve">파일을 웹브라우저로 열고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이 엑셀 파일을 업로드하면</t>
    </r>
  </si>
  <si>
    <r>
      <rPr>
        <sz val="11"/>
        <color rgb="FF241B35"/>
        <rFont val="Noto Sans CJK SC"/>
        <family val="2"/>
      </rPr>
      <t xml:space="preserve">거래내역 시트를 자동으로 읽어 프로젝트별 요약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그래프를 온라인에서 바로 확인할 수 있습니다</t>
    </r>
    <r>
      <rPr>
        <sz val="11"/>
        <color rgb="FF241B35"/>
        <rFont val="Arial"/>
        <family val="0"/>
        <charset val="1"/>
      </rPr>
      <t xml:space="preserve">.</t>
    </r>
  </si>
  <si>
    <r>
      <rPr>
        <sz val="11"/>
        <color rgb="FF241B35"/>
        <rFont val="Noto Sans CJK SC"/>
        <family val="2"/>
      </rPr>
      <t xml:space="preserve">엑셀에서 데이터를 추가</t>
    </r>
    <r>
      <rPr>
        <sz val="11"/>
        <color rgb="FF241B35"/>
        <rFont val="Arial"/>
        <family val="0"/>
        <charset val="1"/>
      </rPr>
      <t xml:space="preserve">/</t>
    </r>
    <r>
      <rPr>
        <sz val="11"/>
        <color rgb="FF241B35"/>
        <rFont val="Noto Sans CJK SC"/>
        <family val="2"/>
      </rPr>
      <t xml:space="preserve">수정한 뒤 같은 파일을 다시 업로드하면 최신 내용으로 갱신됩니다</t>
    </r>
    <r>
      <rPr>
        <sz val="11"/>
        <color rgb="FF241B35"/>
        <rFont val="Arial"/>
        <family val="0"/>
        <charset val="1"/>
      </rPr>
      <t xml:space="preserve">.</t>
    </r>
  </si>
  <si>
    <t xml:space="preserve">⑤ 표준 카테고리</t>
  </si>
  <si>
    <r>
      <rPr>
        <sz val="11"/>
        <color rgb="FF241B35"/>
        <rFont val="Noto Sans CJK SC"/>
        <family val="2"/>
      </rPr>
      <t xml:space="preserve">수익</t>
    </r>
    <r>
      <rPr>
        <sz val="11"/>
        <color rgb="FF241B35"/>
        <rFont val="Arial"/>
        <family val="0"/>
        <charset val="1"/>
      </rPr>
      <t xml:space="preserve">: </t>
    </r>
    <r>
      <rPr>
        <sz val="11"/>
        <color rgb="FF241B35"/>
        <rFont val="Noto Sans CJK SC"/>
        <family val="2"/>
      </rPr>
      <t xml:space="preserve">매출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기타수익</t>
    </r>
  </si>
  <si>
    <r>
      <rPr>
        <sz val="11"/>
        <color rgb="FF241B35"/>
        <rFont val="Noto Sans CJK SC"/>
        <family val="2"/>
      </rPr>
      <t xml:space="preserve">비용</t>
    </r>
    <r>
      <rPr>
        <sz val="11"/>
        <color rgb="FF241B35"/>
        <rFont val="Arial"/>
        <family val="0"/>
        <charset val="1"/>
      </rPr>
      <t xml:space="preserve">: </t>
    </r>
    <r>
      <rPr>
        <sz val="11"/>
        <color rgb="FF241B35"/>
        <rFont val="Noto Sans CJK SC"/>
        <family val="2"/>
      </rPr>
      <t xml:space="preserve">매출원가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인건비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외주비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마케팅비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인프라</t>
    </r>
    <r>
      <rPr>
        <sz val="11"/>
        <color rgb="FF241B35"/>
        <rFont val="Arial"/>
        <family val="0"/>
        <charset val="1"/>
      </rPr>
      <t xml:space="preserve">·</t>
    </r>
    <r>
      <rPr>
        <sz val="11"/>
        <color rgb="FF241B35"/>
        <rFont val="Noto Sans CJK SC"/>
        <family val="2"/>
      </rPr>
      <t xml:space="preserve">툴비용</t>
    </r>
    <r>
      <rPr>
        <sz val="11"/>
        <color rgb="FF241B35"/>
        <rFont val="Arial"/>
        <family val="0"/>
        <charset val="1"/>
      </rPr>
      <t xml:space="preserve">, </t>
    </r>
    <r>
      <rPr>
        <sz val="11"/>
        <color rgb="FF241B35"/>
        <rFont val="Noto Sans CJK SC"/>
        <family val="2"/>
      </rPr>
      <t xml:space="preserve">기타경비</t>
    </r>
  </si>
  <si>
    <r>
      <rPr>
        <sz val="11"/>
        <color rgb="FF241B35"/>
        <rFont val="Noto Sans CJK SC"/>
        <family val="2"/>
      </rPr>
      <t xml:space="preserve">업종 특성상 카테고리를 바꾸고 싶다면 </t>
    </r>
    <r>
      <rPr>
        <sz val="11"/>
        <color rgb="FF241B35"/>
        <rFont val="Arial"/>
        <family val="0"/>
        <charset val="1"/>
      </rPr>
      <t xml:space="preserve">'</t>
    </r>
    <r>
      <rPr>
        <sz val="11"/>
        <color rgb="FF241B35"/>
        <rFont val="Noto Sans CJK SC"/>
        <family val="2"/>
      </rPr>
      <t xml:space="preserve">카테고리</t>
    </r>
    <r>
      <rPr>
        <sz val="11"/>
        <color rgb="FF241B35"/>
        <rFont val="Arial"/>
        <family val="0"/>
        <charset val="1"/>
      </rPr>
      <t xml:space="preserve">' </t>
    </r>
    <r>
      <rPr>
        <sz val="11"/>
        <color rgb="FF241B35"/>
        <rFont val="Noto Sans CJK SC"/>
        <family val="2"/>
      </rPr>
      <t xml:space="preserve">시트의 목록만 수정하면 거래내역 드롭다운에도 자동 반영됩니다</t>
    </r>
    <r>
      <rPr>
        <sz val="11"/>
        <color rgb="FF241B35"/>
        <rFont val="Arial"/>
        <family val="0"/>
        <charset val="1"/>
      </rPr>
      <t xml:space="preserve">.</t>
    </r>
  </si>
  <si>
    <r>
      <rPr>
        <b val="true"/>
        <sz val="10"/>
        <color rgb="FFFFFFFF"/>
        <rFont val="Noto Sans CJK SC"/>
        <family val="2"/>
      </rPr>
      <t xml:space="preserve">프로젝트</t>
    </r>
    <r>
      <rPr>
        <b val="true"/>
        <sz val="10"/>
        <color rgb="FFFFFFFF"/>
        <rFont val="Arial"/>
        <family val="0"/>
        <charset val="1"/>
      </rPr>
      <t xml:space="preserve">ID</t>
    </r>
  </si>
  <si>
    <t xml:space="preserve">프로젝트명</t>
  </si>
  <si>
    <t xml:space="preserve">상태</t>
  </si>
  <si>
    <t xml:space="preserve">분야</t>
  </si>
  <si>
    <t xml:space="preserve">시작일</t>
  </si>
  <si>
    <r>
      <rPr>
        <b val="true"/>
        <sz val="10"/>
        <color rgb="FFFFFFFF"/>
        <rFont val="Noto Sans CJK SC"/>
        <family val="2"/>
      </rPr>
      <t xml:space="preserve">종료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예정</t>
    </r>
    <r>
      <rPr>
        <b val="true"/>
        <sz val="10"/>
        <color rgb="FFFFFFFF"/>
        <rFont val="Arial"/>
        <family val="0"/>
        <charset val="1"/>
      </rPr>
      <t xml:space="preserve">)</t>
    </r>
    <r>
      <rPr>
        <b val="true"/>
        <sz val="10"/>
        <color rgb="FFFFFFFF"/>
        <rFont val="Noto Sans CJK SC"/>
        <family val="2"/>
      </rPr>
      <t xml:space="preserve">일</t>
    </r>
  </si>
  <si>
    <t xml:space="preserve">담당자</t>
  </si>
  <si>
    <t xml:space="preserve">비고</t>
  </si>
  <si>
    <r>
      <rPr>
        <sz val="10"/>
        <color rgb="FF0000FF"/>
        <rFont val="Arial"/>
        <family val="0"/>
        <charset val="1"/>
      </rPr>
      <t xml:space="preserve">AI </t>
    </r>
    <r>
      <rPr>
        <sz val="10"/>
        <color rgb="FF0000FF"/>
        <rFont val="Noto Sans CJK SC"/>
        <family val="2"/>
      </rPr>
      <t xml:space="preserve">도형심리 검사 서비스</t>
    </r>
  </si>
  <si>
    <t xml:space="preserve">진행중</t>
  </si>
  <si>
    <r>
      <rPr>
        <sz val="10"/>
        <color rgb="FF0000FF"/>
        <rFont val="Noto Sans CJK SC"/>
        <family val="2"/>
      </rPr>
      <t xml:space="preserve">심리테스트 </t>
    </r>
    <r>
      <rPr>
        <sz val="10"/>
        <color rgb="FF0000FF"/>
        <rFont val="Arial"/>
        <family val="0"/>
        <charset val="1"/>
      </rPr>
      <t xml:space="preserve">SaaS</t>
    </r>
  </si>
  <si>
    <t xml:space="preserve">홍길동</t>
  </si>
  <si>
    <r>
      <rPr>
        <sz val="10"/>
        <color rgb="FF0000FF"/>
        <rFont val="Noto Sans CJK SC"/>
        <family val="2"/>
      </rPr>
      <t xml:space="preserve">예시 </t>
    </r>
    <r>
      <rPr>
        <sz val="10"/>
        <color rgb="FF0000FF"/>
        <rFont val="Arial"/>
        <family val="0"/>
        <charset val="1"/>
      </rPr>
      <t xml:space="preserve">- </t>
    </r>
    <r>
      <rPr>
        <sz val="10"/>
        <color rgb="FF0000FF"/>
        <rFont val="Noto Sans CJK SC"/>
        <family val="2"/>
      </rPr>
      <t xml:space="preserve">실제 데이터로 교체하세요</t>
    </r>
  </si>
  <si>
    <t xml:space="preserve">번호</t>
  </si>
  <si>
    <t xml:space="preserve">날짜</t>
  </si>
  <si>
    <t xml:space="preserve">연도</t>
  </si>
  <si>
    <t xml:space="preserve">카테고리</t>
  </si>
  <si>
    <t xml:space="preserve">구분</t>
  </si>
  <si>
    <t xml:space="preserve">항목명</t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</si>
  <si>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</si>
  <si>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통화</t>
  </si>
  <si>
    <t xml:space="preserve">매출</t>
  </si>
  <si>
    <r>
      <rPr>
        <sz val="10"/>
        <color rgb="FF0000FF"/>
        <rFont val="Arial"/>
        <family val="0"/>
        <charset val="1"/>
      </rPr>
      <t xml:space="preserve">2</t>
    </r>
    <r>
      <rPr>
        <sz val="10"/>
        <color rgb="FF0000FF"/>
        <rFont val="Noto Sans CJK SC"/>
        <family val="2"/>
      </rPr>
      <t xml:space="preserve">월 정기결제 매출</t>
    </r>
  </si>
  <si>
    <t xml:space="preserve">KRW</t>
  </si>
  <si>
    <r>
      <rPr>
        <sz val="10"/>
        <color rgb="FF0000FF"/>
        <rFont val="Noto Sans CJK SC"/>
        <family val="2"/>
      </rPr>
      <t xml:space="preserve">인프라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툴비용</t>
    </r>
  </si>
  <si>
    <r>
      <rPr>
        <sz val="10"/>
        <color rgb="FF0000FF"/>
        <rFont val="Noto Sans CJK SC"/>
        <family val="2"/>
      </rPr>
      <t xml:space="preserve">서버</t>
    </r>
    <r>
      <rPr>
        <sz val="10"/>
        <color rgb="FF0000FF"/>
        <rFont val="Arial"/>
        <family val="0"/>
        <charset val="1"/>
      </rPr>
      <t xml:space="preserve">/API </t>
    </r>
    <r>
      <rPr>
        <sz val="10"/>
        <color rgb="FF0000FF"/>
        <rFont val="Noto Sans CJK SC"/>
        <family val="2"/>
      </rPr>
      <t xml:space="preserve">비용</t>
    </r>
  </si>
  <si>
    <t xml:space="preserve">카테고리명</t>
  </si>
  <si>
    <t xml:space="preserve">상태목록</t>
  </si>
  <si>
    <t xml:space="preserve">통화목록</t>
  </si>
  <si>
    <r>
      <rPr>
        <i val="true"/>
        <sz val="10"/>
        <color rgb="FF6E6580"/>
        <rFont val="Noto Sans CJK SC"/>
        <family val="2"/>
      </rPr>
      <t xml:space="preserve">※ 이 시트는 드롭다운 목록의 원본입니다</t>
    </r>
    <r>
      <rPr>
        <i val="true"/>
        <sz val="10"/>
        <color rgb="FF6E6580"/>
        <rFont val="Arial"/>
        <family val="0"/>
        <charset val="1"/>
      </rPr>
      <t xml:space="preserve">. </t>
    </r>
    <r>
      <rPr>
        <i val="true"/>
        <sz val="10"/>
        <color rgb="FF6E6580"/>
        <rFont val="Noto Sans CJK SC"/>
        <family val="2"/>
      </rPr>
      <t xml:space="preserve">값을 바꾸면 거래내역</t>
    </r>
    <r>
      <rPr>
        <i val="true"/>
        <sz val="10"/>
        <color rgb="FF6E6580"/>
        <rFont val="Arial"/>
        <family val="0"/>
        <charset val="1"/>
      </rPr>
      <t xml:space="preserve">/</t>
    </r>
    <r>
      <rPr>
        <i val="true"/>
        <sz val="10"/>
        <color rgb="FF6E6580"/>
        <rFont val="Noto Sans CJK SC"/>
        <family val="2"/>
      </rPr>
      <t xml:space="preserve">프로젝트목록의 선택지도 함께 바뀝니다</t>
    </r>
    <r>
      <rPr>
        <i val="true"/>
        <sz val="10"/>
        <color rgb="FF6E6580"/>
        <rFont val="Arial"/>
        <family val="0"/>
        <charset val="1"/>
      </rPr>
      <t xml:space="preserve">.</t>
    </r>
  </si>
  <si>
    <t xml:space="preserve">수익</t>
  </si>
  <si>
    <t xml:space="preserve">진행완료</t>
  </si>
  <si>
    <t xml:space="preserve">기타수익</t>
  </si>
  <si>
    <t xml:space="preserve">USD</t>
  </si>
  <si>
    <t xml:space="preserve">매출원가</t>
  </si>
  <si>
    <t xml:space="preserve">비용</t>
  </si>
  <si>
    <t xml:space="preserve">진행예정</t>
  </si>
  <si>
    <r>
      <rPr>
        <sz val="10"/>
        <color rgb="FF0000FF"/>
        <rFont val="Noto Sans CJK SC"/>
        <family val="2"/>
      </rPr>
      <t xml:space="preserve">인건비</t>
    </r>
    <r>
      <rPr>
        <sz val="10"/>
        <color rgb="FF0000FF"/>
        <rFont val="Arial"/>
        <family val="0"/>
        <charset val="1"/>
      </rPr>
      <t xml:space="preserve">·</t>
    </r>
    <r>
      <rPr>
        <sz val="10"/>
        <color rgb="FF0000FF"/>
        <rFont val="Noto Sans CJK SC"/>
        <family val="2"/>
      </rPr>
      <t xml:space="preserve">외주비</t>
    </r>
  </si>
  <si>
    <t xml:space="preserve">마케팅비</t>
  </si>
  <si>
    <t xml:space="preserve">기타경비</t>
  </si>
  <si>
    <r>
      <rPr>
        <b val="true"/>
        <sz val="13"/>
        <color rgb="FF4E2C79"/>
        <rFont val="Noto Sans CJK SC"/>
        <family val="2"/>
      </rPr>
      <t xml:space="preserve">프로젝트별 연간 </t>
    </r>
    <r>
      <rPr>
        <b val="true"/>
        <sz val="13"/>
        <color rgb="FF4E2C79"/>
        <rFont val="Arial"/>
        <family val="0"/>
        <charset val="1"/>
      </rPr>
      <t xml:space="preserve">P&amp;L </t>
    </r>
    <r>
      <rPr>
        <b val="true"/>
        <sz val="13"/>
        <color rgb="FF4E2C79"/>
        <rFont val="Noto Sans CJK SC"/>
        <family val="2"/>
      </rPr>
      <t xml:space="preserve">요약  </t>
    </r>
    <r>
      <rPr>
        <b val="true"/>
        <sz val="13"/>
        <color rgb="FF4E2C79"/>
        <rFont val="Arial"/>
        <family val="0"/>
        <charset val="1"/>
      </rPr>
      <t xml:space="preserve">(</t>
    </r>
    <r>
      <rPr>
        <b val="true"/>
        <sz val="13"/>
        <color rgb="FF4E2C79"/>
        <rFont val="Noto Sans CJK SC"/>
        <family val="2"/>
      </rPr>
      <t xml:space="preserve">자동 계산 </t>
    </r>
    <r>
      <rPr>
        <b val="true"/>
        <sz val="13"/>
        <color rgb="FF4E2C79"/>
        <rFont val="Arial"/>
        <family val="0"/>
        <charset val="1"/>
      </rPr>
      <t xml:space="preserve">· </t>
    </r>
    <r>
      <rPr>
        <b val="true"/>
        <sz val="13"/>
        <color rgb="FF4E2C79"/>
        <rFont val="Noto Sans CJK SC"/>
        <family val="2"/>
      </rPr>
      <t xml:space="preserve">거래내역 시트 기반 </t>
    </r>
    <r>
      <rPr>
        <b val="true"/>
        <sz val="13"/>
        <color rgb="FF4E2C79"/>
        <rFont val="Arial"/>
        <family val="0"/>
        <charset val="1"/>
      </rPr>
      <t xml:space="preserve">· </t>
    </r>
    <r>
      <rPr>
        <b val="true"/>
        <sz val="13"/>
        <color rgb="FF4E2C79"/>
        <rFont val="Noto Sans CJK SC"/>
        <family val="2"/>
      </rPr>
      <t xml:space="preserve">편집하지 마세요</t>
    </r>
    <r>
      <rPr>
        <b val="true"/>
        <sz val="13"/>
        <color rgb="FF4E2C79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</si>
  <si>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2026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</si>
  <si>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2027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</si>
  <si>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2028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</si>
  <si>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2029</t>
    </r>
    <r>
      <rPr>
        <b val="true"/>
        <sz val="10"/>
        <color rgb="FFFFFFFF"/>
        <rFont val="Noto Sans CJK SC"/>
        <family val="2"/>
      </rPr>
      <t xml:space="preserve">년</t>
    </r>
  </si>
  <si>
    <r>
      <rPr>
        <b val="true"/>
        <sz val="10"/>
        <color rgb="FFFFFFFF"/>
        <rFont val="Arial"/>
        <family val="0"/>
        <charset val="1"/>
      </rPr>
      <t xml:space="preserve">2030</t>
    </r>
    <r>
      <rPr>
        <b val="true"/>
        <sz val="10"/>
        <color rgb="FFFFFFFF"/>
        <rFont val="Noto Sans CJK SC"/>
        <family val="2"/>
      </rPr>
      <t xml:space="preserve">년</t>
    </r>
  </si>
  <si>
    <t xml:space="preserve">전체 누적</t>
  </si>
  <si>
    <t xml:space="preserve">순이익</t>
  </si>
  <si>
    <t xml:space="preserve">누적매출</t>
  </si>
  <si>
    <t xml:space="preserve">누적비용</t>
  </si>
  <si>
    <t xml:space="preserve">누적순이익</t>
  </si>
  <si>
    <t xml:space="preserve">이익률</t>
  </si>
  <si>
    <t xml:space="preserve">합계</t>
  </si>
  <si>
    <r>
      <rPr>
        <i val="true"/>
        <sz val="9"/>
        <color rgb="FF6E6580"/>
        <rFont val="Arial"/>
        <family val="0"/>
        <charset val="1"/>
      </rPr>
      <t xml:space="preserve">※ 2031</t>
    </r>
    <r>
      <rPr>
        <i val="true"/>
        <sz val="9"/>
        <color rgb="FF6E6580"/>
        <rFont val="Noto Sans CJK SC"/>
        <family val="2"/>
      </rPr>
      <t xml:space="preserve">년 이후 데이터가 필요하면</t>
    </r>
    <r>
      <rPr>
        <i val="true"/>
        <sz val="9"/>
        <color rgb="FF6E6580"/>
        <rFont val="Arial"/>
        <family val="0"/>
        <charset val="1"/>
      </rPr>
      <t xml:space="preserve">, </t>
    </r>
    <r>
      <rPr>
        <i val="true"/>
        <sz val="9"/>
        <color rgb="FF6E6580"/>
        <rFont val="Noto Sans CJK SC"/>
        <family val="2"/>
      </rPr>
      <t xml:space="preserve">임의의 연도 </t>
    </r>
    <r>
      <rPr>
        <i val="true"/>
        <sz val="9"/>
        <color rgb="FF6E6580"/>
        <rFont val="Arial"/>
        <family val="0"/>
        <charset val="1"/>
      </rPr>
      <t xml:space="preserve">3</t>
    </r>
    <r>
      <rPr>
        <i val="true"/>
        <sz val="9"/>
        <color rgb="FF6E6580"/>
        <rFont val="Noto Sans CJK SC"/>
        <family val="2"/>
      </rPr>
      <t xml:space="preserve">열 블록을 복사해 오른쪽에 붙여넣고 연도 숫자만 바꿔주세요 </t>
    </r>
    <r>
      <rPr>
        <i val="true"/>
        <sz val="9"/>
        <color rgb="FF6E6580"/>
        <rFont val="Arial"/>
        <family val="0"/>
        <charset val="1"/>
      </rPr>
      <t xml:space="preserve">(SUMIFS </t>
    </r>
    <r>
      <rPr>
        <i val="true"/>
        <sz val="9"/>
        <color rgb="FF6E6580"/>
        <rFont val="Noto Sans CJK SC"/>
        <family val="2"/>
      </rPr>
      <t xml:space="preserve">수식의 연도 조건만 수정</t>
    </r>
    <r>
      <rPr>
        <i val="true"/>
        <sz val="9"/>
        <color rgb="FF6E6580"/>
        <rFont val="Arial"/>
        <family val="0"/>
        <charset val="1"/>
      </rPr>
      <t xml:space="preserve">).</t>
    </r>
  </si>
  <si>
    <r>
      <rPr>
        <b val="true"/>
        <sz val="18"/>
        <color rgb="FF4E2C79"/>
        <rFont val="Noto Sans CJK SC"/>
        <family val="2"/>
      </rPr>
      <t xml:space="preserve">프로젝트별 </t>
    </r>
    <r>
      <rPr>
        <b val="true"/>
        <sz val="18"/>
        <color rgb="FF4E2C79"/>
        <rFont val="Arial"/>
        <family val="0"/>
        <charset val="1"/>
      </rPr>
      <t xml:space="preserve">P&amp;L </t>
    </r>
    <r>
      <rPr>
        <b val="true"/>
        <sz val="18"/>
        <color rgb="FF4E2C79"/>
        <rFont val="Noto Sans CJK SC"/>
        <family val="2"/>
      </rPr>
      <t xml:space="preserve">대시보드</t>
    </r>
  </si>
  <si>
    <r>
      <rPr>
        <sz val="10"/>
        <color rgb="FF6E6580"/>
        <rFont val="Noto Sans CJK SC"/>
        <family val="2"/>
      </rPr>
      <t xml:space="preserve">전체 프로젝트 </t>
    </r>
    <r>
      <rPr>
        <sz val="10"/>
        <color rgb="FF6E6580"/>
        <rFont val="Arial"/>
        <family val="0"/>
        <charset val="1"/>
      </rPr>
      <t xml:space="preserve">· </t>
    </r>
    <r>
      <rPr>
        <sz val="10"/>
        <color rgb="FF6E6580"/>
        <rFont val="Noto Sans CJK SC"/>
        <family val="2"/>
      </rPr>
      <t xml:space="preserve">전체 기간 기준 </t>
    </r>
    <r>
      <rPr>
        <sz val="10"/>
        <color rgb="FF6E6580"/>
        <rFont val="Arial"/>
        <family val="0"/>
        <charset val="1"/>
      </rPr>
      <t xml:space="preserve">(</t>
    </r>
    <r>
      <rPr>
        <sz val="10"/>
        <color rgb="FF6E6580"/>
        <rFont val="Noto Sans CJK SC"/>
        <family val="2"/>
      </rPr>
      <t xml:space="preserve">자동 계산</t>
    </r>
    <r>
      <rPr>
        <sz val="10"/>
        <color rgb="FF6E6580"/>
        <rFont val="Arial"/>
        <family val="0"/>
        <charset val="1"/>
      </rPr>
      <t xml:space="preserve">)</t>
    </r>
  </si>
  <si>
    <t xml:space="preserve">총매출</t>
  </si>
  <si>
    <t xml:space="preserve">총비용</t>
  </si>
  <si>
    <t xml:space="preserve">전체 이익률</t>
  </si>
  <si>
    <t xml:space="preserve">진행중 프로젝트</t>
  </si>
  <si>
    <t xml:space="preserve">진행완료 프로젝트</t>
  </si>
  <si>
    <r>
      <rPr>
        <b val="true"/>
        <sz val="10"/>
        <color rgb="FF4E2C79"/>
        <rFont val="Noto Sans CJK SC"/>
        <family val="2"/>
      </rPr>
      <t xml:space="preserve">연도별 전체 합계 </t>
    </r>
    <r>
      <rPr>
        <b val="true"/>
        <sz val="10"/>
        <color rgb="FF4E2C79"/>
        <rFont val="Arial"/>
        <family val="0"/>
        <charset val="1"/>
      </rPr>
      <t xml:space="preserve">(</t>
    </r>
    <r>
      <rPr>
        <b val="true"/>
        <sz val="10"/>
        <color rgb="FF4E2C79"/>
        <rFont val="Noto Sans CJK SC"/>
        <family val="2"/>
      </rPr>
      <t xml:space="preserve">차트 데이터</t>
    </r>
    <r>
      <rPr>
        <b val="true"/>
        <sz val="10"/>
        <color rgb="FF4E2C79"/>
        <rFont val="Arial"/>
        <family val="0"/>
        <charset val="1"/>
      </rPr>
      <t xml:space="preserve">)</t>
    </r>
  </si>
  <si>
    <r>
      <rPr>
        <i val="true"/>
        <sz val="9"/>
        <color rgb="FF6E6580"/>
        <rFont val="Noto Sans CJK SC"/>
        <family val="2"/>
      </rPr>
      <t xml:space="preserve">※ 이 시트는 자동 계산 결과입니다</t>
    </r>
    <r>
      <rPr>
        <i val="true"/>
        <sz val="9"/>
        <color rgb="FF6E6580"/>
        <rFont val="Arial"/>
        <family val="0"/>
        <charset val="1"/>
      </rPr>
      <t xml:space="preserve">. </t>
    </r>
    <r>
      <rPr>
        <i val="true"/>
        <sz val="9"/>
        <color rgb="FF6E6580"/>
        <rFont val="Noto Sans CJK SC"/>
        <family val="2"/>
      </rPr>
      <t xml:space="preserve">값을 바꾸려면 </t>
    </r>
    <r>
      <rPr>
        <i val="true"/>
        <sz val="9"/>
        <color rgb="FF6E6580"/>
        <rFont val="Arial"/>
        <family val="0"/>
        <charset val="1"/>
      </rPr>
      <t xml:space="preserve">'</t>
    </r>
    <r>
      <rPr>
        <i val="true"/>
        <sz val="9"/>
        <color rgb="FF6E6580"/>
        <rFont val="Noto Sans CJK SC"/>
        <family val="2"/>
      </rPr>
      <t xml:space="preserve">거래내역</t>
    </r>
    <r>
      <rPr>
        <i val="true"/>
        <sz val="9"/>
        <color rgb="FF6E6580"/>
        <rFont val="Arial"/>
        <family val="0"/>
        <charset val="1"/>
      </rPr>
      <t xml:space="preserve">' </t>
    </r>
    <r>
      <rPr>
        <i val="true"/>
        <sz val="9"/>
        <color rgb="FF6E6580"/>
        <rFont val="Noto Sans CJK SC"/>
        <family val="2"/>
      </rPr>
      <t xml:space="preserve">시트에 데이터를 입력</t>
    </r>
    <r>
      <rPr>
        <i val="true"/>
        <sz val="9"/>
        <color rgb="FF6E6580"/>
        <rFont val="Arial"/>
        <family val="0"/>
        <charset val="1"/>
      </rPr>
      <t xml:space="preserve">/</t>
    </r>
    <r>
      <rPr>
        <i val="true"/>
        <sz val="9"/>
        <color rgb="FF6E6580"/>
        <rFont val="Noto Sans CJK SC"/>
        <family val="2"/>
      </rPr>
      <t xml:space="preserve">수정하세요</t>
    </r>
    <r>
      <rPr>
        <i val="true"/>
        <sz val="9"/>
        <color rgb="FF6E6580"/>
        <rFont val="Arial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</si>
</sst>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%"/>
  </numFmts>
  <fonts count="4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4E2C79"/>
      <name val="Noto Sans CJK SC"/>
      <family val="2"/>
    </font>
    <font>
      <b val="true"/>
      <sz val="18"/>
      <color rgb="FF4E2C79"/>
      <name val="Arial"/>
      <family val="0"/>
      <charset val="1"/>
    </font>
    <font>
      <sz val="11"/>
      <color rgb="FF241B35"/>
      <name val="Arial"/>
      <family val="0"/>
      <charset val="1"/>
    </font>
    <font>
      <sz val="11"/>
      <color rgb="FF241B35"/>
      <name val="Noto Sans CJK SC"/>
      <family val="2"/>
    </font>
    <font>
      <b val="true"/>
      <sz val="13"/>
      <color rgb="FF4E2C79"/>
      <name val="Noto Sans CJK SC"/>
      <family val="2"/>
    </font>
    <font>
      <sz val="11"/>
      <color rgb="FF0000FF"/>
      <name val="Noto Sans CJK SC"/>
      <family val="2"/>
    </font>
    <font>
      <sz val="11"/>
      <color rgb="FF0000FF"/>
      <name val="Arial"/>
      <family val="0"/>
      <charset val="1"/>
    </font>
    <font>
      <sz val="11"/>
      <color rgb="FF000000"/>
      <name val="Noto Sans CJK SC"/>
      <family val="2"/>
    </font>
    <font>
      <sz val="11"/>
      <color rgb="FF000000"/>
      <name val="Arial"/>
      <family val="0"/>
      <charset val="1"/>
    </font>
    <font>
      <sz val="11"/>
      <color rgb="FF008000"/>
      <name val="Noto Sans CJK SC"/>
      <family val="2"/>
    </font>
    <font>
      <sz val="11"/>
      <color rgb="FF008000"/>
      <name val="Arial"/>
      <family val="0"/>
      <charset val="1"/>
    </font>
    <font>
      <sz val="11"/>
      <name val="Noto Sans CJK SC"/>
      <family val="2"/>
    </font>
    <font>
      <sz val="11"/>
      <name val="Arial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FF"/>
      <name val="Noto Sans CJK SC"/>
      <family val="2"/>
    </font>
    <font>
      <i val="true"/>
      <sz val="10"/>
      <color rgb="FF6E6580"/>
      <name val="Noto Sans CJK SC"/>
      <family val="2"/>
    </font>
    <font>
      <i val="true"/>
      <sz val="10"/>
      <color rgb="FF6E6580"/>
      <name val="Arial"/>
      <family val="0"/>
      <charset val="1"/>
    </font>
    <font>
      <b val="true"/>
      <sz val="13"/>
      <color rgb="FF4E2C79"/>
      <name val="Arial"/>
      <family val="0"/>
      <charset val="1"/>
    </font>
    <font>
      <b val="true"/>
      <sz val="10"/>
      <color rgb="FF241B35"/>
      <name val="Noto Sans CJK SC"/>
      <family val="2"/>
    </font>
    <font>
      <b val="true"/>
      <sz val="10"/>
      <color rgb="FF0E5A54"/>
      <name val="Noto Sans CJK SC"/>
      <family val="2"/>
    </font>
    <font>
      <sz val="10"/>
      <color rgb="FF008000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i val="true"/>
      <sz val="9"/>
      <color rgb="FF6E6580"/>
      <name val="Arial"/>
      <family val="0"/>
      <charset val="1"/>
    </font>
    <font>
      <i val="true"/>
      <sz val="9"/>
      <color rgb="FF6E6580"/>
      <name val="Noto Sans CJK SC"/>
      <family val="2"/>
    </font>
    <font>
      <sz val="10"/>
      <color rgb="FF6E6580"/>
      <name val="Noto Sans CJK SC"/>
      <family val="2"/>
    </font>
    <font>
      <sz val="10"/>
      <color rgb="FF6E6580"/>
      <name val="Arial"/>
      <family val="0"/>
      <charset val="1"/>
    </font>
    <font>
      <b val="true"/>
      <sz val="9"/>
      <color rgb="FF6E6580"/>
      <name val="Noto Sans CJK SC"/>
      <family val="2"/>
    </font>
    <font>
      <b val="true"/>
      <sz val="16"/>
      <color rgb="FF241B35"/>
      <name val="Arial"/>
      <family val="0"/>
      <charset val="1"/>
    </font>
    <font>
      <b val="true"/>
      <sz val="10"/>
      <color rgb="FF4E2C79"/>
      <name val="Noto Sans CJK SC"/>
      <family val="2"/>
    </font>
    <font>
      <b val="true"/>
      <sz val="10"/>
      <color rgb="FF4E2C79"/>
      <name val="Arial"/>
      <family val="0"/>
      <charset val="1"/>
    </font>
    <font>
      <b val="true"/>
      <sz val="9"/>
      <name val="Noto Sans CJK SC"/>
      <family val="2"/>
    </font>
    <font>
      <sz val="11"/>
      <color theme="1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6D8"/>
        <bgColor rgb="FFF9F9F9"/>
      </patternFill>
    </fill>
    <fill>
      <patternFill patternType="solid">
        <fgColor rgb="FF4E2C79"/>
        <bgColor rgb="FF6B3FA0"/>
      </patternFill>
    </fill>
    <fill>
      <patternFill patternType="solid">
        <fgColor rgb="FF6B3FA0"/>
        <bgColor rgb="FF4E2C79"/>
      </patternFill>
    </fill>
    <fill>
      <patternFill patternType="solid">
        <fgColor rgb="FF1ABCB0"/>
        <bgColor rgb="FF1BAF7A"/>
      </patternFill>
    </fill>
    <fill>
      <patternFill patternType="solid">
        <fgColor rgb="FFE6DBF5"/>
        <bgColor rgb="FFD9D9D9"/>
      </patternFill>
    </fill>
    <fill>
      <patternFill patternType="solid">
        <fgColor rgb="FFDAF3F1"/>
        <bgColor rgb="FFEEEAF6"/>
      </patternFill>
    </fill>
    <fill>
      <patternFill patternType="solid">
        <fgColor rgb="FFEFEAF8"/>
        <bgColor rgb="FFEEEAF6"/>
      </patternFill>
    </fill>
    <fill>
      <patternFill patternType="solid">
        <fgColor rgb="FFFBE6DE"/>
        <bgColor rgb="FFFBDCEC"/>
      </patternFill>
    </fill>
    <fill>
      <patternFill patternType="solid">
        <fgColor rgb="FFFBDCEC"/>
        <bgColor rgb="FFFBE6DE"/>
      </patternFill>
    </fill>
    <fill>
      <patternFill patternType="solid">
        <fgColor rgb="FFEEEAF6"/>
        <bgColor rgb="FFEFEAF8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3C2B7"/>
      </left>
      <right style="thin">
        <color rgb="FFC3C2B7"/>
      </right>
      <top style="thin">
        <color rgb="FFC3C2B7"/>
      </top>
      <bottom style="thin">
        <color rgb="FFC3C2B7"/>
      </bottom>
      <diagonal/>
    </border>
    <border diagonalUp="false" diagonalDown="false">
      <left/>
      <right style="thin">
        <color rgb="FFC3C2B7"/>
      </right>
      <top/>
      <bottom style="thin">
        <color rgb="FFC3C2B7"/>
      </bottom>
      <diagonal/>
    </border>
    <border diagonalUp="false" diagonalDown="false">
      <left style="thin">
        <color rgb="FFC3C2B7"/>
      </left>
      <right/>
      <top style="thin">
        <color rgb="FFC3C2B7"/>
      </top>
      <bottom style="thin">
        <color rgb="FFC3C2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2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4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5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5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5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35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35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2B7"/>
      <rgbColor rgb="FF878787"/>
      <rgbColor rgb="FF9999FF"/>
      <rgbColor rgb="FF6B3FA0"/>
      <rgbColor rgb="FFFFF6D8"/>
      <rgbColor rgb="FFDAF3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AF6"/>
      <rgbColor rgb="FFEFEAF8"/>
      <rgbColor rgb="FFFBE6DE"/>
      <rgbColor rgb="FFE6DBF5"/>
      <rgbColor rgb="FFF9F9F9"/>
      <rgbColor rgb="FFCC99FF"/>
      <rgbColor rgb="FFFBDCEC"/>
      <rgbColor rgb="FF2A78D6"/>
      <rgbColor rgb="FF1ABCB0"/>
      <rgbColor rgb="FF99CC00"/>
      <rgbColor rgb="FFFFCC00"/>
      <rgbColor rgb="FFFF9900"/>
      <rgbColor rgb="FFEB6834"/>
      <rgbColor rgb="FF6E6580"/>
      <rgbColor rgb="FF969696"/>
      <rgbColor rgb="FF0E5A54"/>
      <rgbColor rgb="FF1BAF7A"/>
      <rgbColor rgb="FF003300"/>
      <rgbColor rgb="FF333300"/>
      <rgbColor rgb="FF993300"/>
      <rgbColor rgb="FF993366"/>
      <rgbColor rgb="FF4E2C79"/>
      <rgbColor rgb="FF241B3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프로젝트별 누적 순이익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연간요약!U3</c:f>
              <c:strCache>
                <c:ptCount val="1"/>
                <c:pt idx="0">
                  <c:v>누적순이익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연간요약!$B$4:$B$33</c:f>
              <c:strCache>
                <c:ptCount val="30"/>
                <c:pt idx="0">
                  <c:v>AI 도형심리 검사 서비스</c:v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  <c:pt idx="23">
                  <c:v/>
                </c:pt>
                <c:pt idx="24">
                  <c:v/>
                </c:pt>
                <c:pt idx="25">
                  <c:v/>
                </c:pt>
                <c:pt idx="26">
                  <c:v/>
                </c:pt>
                <c:pt idx="27">
                  <c:v/>
                </c:pt>
                <c:pt idx="28">
                  <c:v/>
                </c:pt>
                <c:pt idx="29">
                  <c:v/>
                </c:pt>
              </c:strCache>
            </c:strRef>
          </c:cat>
          <c:val>
            <c:numRef>
              <c:f>연간요약!$U$4:$U$33</c:f>
              <c:numCache>
                <c:formatCode>#,##0</c:formatCode>
                <c:ptCount val="30"/>
                <c:pt idx="0">
                  <c:v>1070000</c:v>
                </c:pt>
              </c:numCache>
            </c:numRef>
          </c:val>
        </c:ser>
        <c:gapWidth val="150"/>
        <c:overlap val="0"/>
        <c:axId val="43685682"/>
        <c:axId val="22083937"/>
      </c:barChart>
      <c:catAx>
        <c:axId val="4368568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프로젝트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083937"/>
        <c:crosses val="autoZero"/>
        <c:auto val="1"/>
        <c:lblAlgn val="ctr"/>
        <c:lblOffset val="100"/>
        <c:noMultiLvlLbl val="0"/>
      </c:catAx>
      <c:valAx>
        <c:axId val="2208393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순이익 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8568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연도별 매출·비용·순이익 추이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대시보드!B11</c:f>
              <c:strCache>
                <c:ptCount val="1"/>
                <c:pt idx="0">
                  <c:v>매출</c:v>
                </c:pt>
              </c:strCache>
            </c:strRef>
          </c:tx>
          <c:spPr>
            <a:solidFill>
              <a:srgbClr val="2a78d6"/>
            </a:solidFill>
            <a:ln w="201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대시보드!$C$10:$G$10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대시보드!$C$11:$G$11</c:f>
              <c:numCache>
                <c:formatCode>#,##0</c:formatCode>
                <c:ptCount val="5"/>
                <c:pt idx="0">
                  <c:v>1250000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대시보드!B12</c:f>
              <c:strCache>
                <c:ptCount val="1"/>
                <c:pt idx="0">
                  <c:v>비용</c:v>
                </c:pt>
              </c:strCache>
            </c:strRef>
          </c:tx>
          <c:spPr>
            <a:solidFill>
              <a:srgbClr val="eb6834"/>
            </a:solidFill>
            <a:ln w="20160">
              <a:solidFill>
                <a:srgbClr val="eb6834"/>
              </a:solidFill>
              <a:round/>
            </a:ln>
          </c:spPr>
          <c:marker>
            <c:symbol val="circle"/>
            <c:size val="6"/>
            <c:spPr>
              <a:solidFill>
                <a:srgbClr val="eb683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대시보드!$C$10:$G$10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대시보드!$C$12:$G$12</c:f>
              <c:numCache>
                <c:formatCode>#,##0</c:formatCode>
                <c:ptCount val="5"/>
                <c:pt idx="0">
                  <c:v>180000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대시보드!B13</c:f>
              <c:strCache>
                <c:ptCount val="1"/>
                <c:pt idx="0">
                  <c:v>순이익</c:v>
                </c:pt>
              </c:strCache>
            </c:strRef>
          </c:tx>
          <c:spPr>
            <a:solidFill>
              <a:srgbClr val="1baf7a"/>
            </a:solidFill>
            <a:ln w="201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대시보드!$C$10:$G$10</c:f>
              <c:strCache>
                <c:ptCount val="5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</c:strCache>
            </c:strRef>
          </c:cat>
          <c:val>
            <c:numRef>
              <c:f>대시보드!$C$13:$G$13</c:f>
              <c:numCache>
                <c:formatCode>#,##0</c:formatCode>
                <c:ptCount val="5"/>
                <c:pt idx="0">
                  <c:v>1070000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1"/>
        <c:axId val="17751389"/>
        <c:axId val="65835192"/>
      </c:lineChart>
      <c:catAx>
        <c:axId val="1775138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연도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835192"/>
        <c:crosses val="autoZero"/>
        <c:auto val="1"/>
        <c:lblAlgn val="ctr"/>
        <c:lblOffset val="100"/>
        <c:noMultiLvlLbl val="0"/>
      </c:catAx>
      <c:valAx>
        <c:axId val="658351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금액 (원)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7513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161640</xdr:rowOff>
    </xdr:from>
    <xdr:to>
      <xdr:col>9</xdr:col>
      <xdr:colOff>353160</xdr:colOff>
      <xdr:row>30</xdr:row>
      <xdr:rowOff>162720</xdr:rowOff>
    </xdr:to>
    <xdr:graphicFrame>
      <xdr:nvGraphicFramePr>
        <xdr:cNvPr id="0" name="Chart 1"/>
        <xdr:cNvGraphicFramePr/>
      </xdr:nvGraphicFramePr>
      <xdr:xfrm>
        <a:off x="611640" y="2857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13</xdr:row>
      <xdr:rowOff>161640</xdr:rowOff>
    </xdr:from>
    <xdr:to>
      <xdr:col>23</xdr:col>
      <xdr:colOff>581400</xdr:colOff>
      <xdr:row>30</xdr:row>
      <xdr:rowOff>162720</xdr:rowOff>
    </xdr:to>
    <xdr:graphicFrame>
      <xdr:nvGraphicFramePr>
        <xdr:cNvPr id="1" name="Chart 2"/>
        <xdr:cNvGraphicFramePr/>
      </xdr:nvGraphicFramePr>
      <xdr:xfrm>
        <a:off x="9401040" y="2857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7.6" hidden="false" customHeight="false" outlineLevel="0" collapsed="false">
      <c r="B2" s="1" t="s">
        <v>0</v>
      </c>
    </row>
    <row r="4" customFormat="false" ht="17.15" hidden="false" customHeight="false" outlineLevel="0" collapsed="false">
      <c r="B4" s="2" t="s">
        <v>1</v>
      </c>
    </row>
    <row r="7" customFormat="false" ht="20.1" hidden="false" customHeight="false" outlineLevel="0" collapsed="false">
      <c r="B7" s="3" t="s">
        <v>2</v>
      </c>
    </row>
    <row r="8" customFormat="false" ht="17.15" hidden="false" customHeight="false" outlineLevel="0" collapsed="false">
      <c r="B8" s="2" t="s">
        <v>3</v>
      </c>
    </row>
    <row r="9" customFormat="false" ht="17.15" hidden="false" customHeight="false" outlineLevel="0" collapsed="false">
      <c r="B9" s="2" t="s">
        <v>4</v>
      </c>
    </row>
    <row r="10" customFormat="false" ht="17.15" hidden="false" customHeight="false" outlineLevel="0" collapsed="false">
      <c r="B10" s="2" t="s">
        <v>5</v>
      </c>
    </row>
    <row r="11" customFormat="false" ht="17.15" hidden="false" customHeight="false" outlineLevel="0" collapsed="false">
      <c r="B11" s="2" t="s">
        <v>6</v>
      </c>
    </row>
    <row r="12" customFormat="false" ht="17.15" hidden="false" customHeight="false" outlineLevel="0" collapsed="false">
      <c r="B12" s="2" t="s">
        <v>7</v>
      </c>
    </row>
    <row r="15" customFormat="false" ht="20.1" hidden="false" customHeight="false" outlineLevel="0" collapsed="false">
      <c r="B15" s="3" t="s">
        <v>8</v>
      </c>
    </row>
    <row r="16" customFormat="false" ht="17.15" hidden="false" customHeight="false" outlineLevel="0" collapsed="false">
      <c r="B16" s="2" t="s">
        <v>9</v>
      </c>
    </row>
    <row r="17" customFormat="false" ht="32.8" hidden="false" customHeight="false" outlineLevel="0" collapsed="false">
      <c r="B17" s="2" t="s">
        <v>10</v>
      </c>
    </row>
    <row r="18" customFormat="false" ht="17.15" hidden="false" customHeight="false" outlineLevel="0" collapsed="false">
      <c r="B18" s="2" t="s">
        <v>11</v>
      </c>
    </row>
    <row r="19" customFormat="false" ht="17.15" hidden="false" customHeight="false" outlineLevel="0" collapsed="false">
      <c r="B19" s="2" t="s">
        <v>12</v>
      </c>
    </row>
    <row r="20" customFormat="false" ht="17.15" hidden="false" customHeight="false" outlineLevel="0" collapsed="false">
      <c r="B20" s="2" t="s">
        <v>13</v>
      </c>
    </row>
    <row r="23" customFormat="false" ht="20.1" hidden="false" customHeight="false" outlineLevel="0" collapsed="false">
      <c r="B23" s="3" t="s">
        <v>14</v>
      </c>
    </row>
    <row r="24" customFormat="false" ht="17.15" hidden="false" customHeight="false" outlineLevel="0" collapsed="false">
      <c r="B24" s="4" t="s">
        <v>15</v>
      </c>
    </row>
    <row r="25" customFormat="false" ht="17.15" hidden="false" customHeight="false" outlineLevel="0" collapsed="false">
      <c r="B25" s="5" t="s">
        <v>16</v>
      </c>
    </row>
    <row r="26" customFormat="false" ht="17.15" hidden="false" customHeight="false" outlineLevel="0" collapsed="false">
      <c r="B26" s="6" t="s">
        <v>17</v>
      </c>
    </row>
    <row r="27" customFormat="false" ht="17.15" hidden="false" customHeight="false" outlineLevel="0" collapsed="false">
      <c r="B27" s="7" t="s">
        <v>18</v>
      </c>
    </row>
    <row r="30" customFormat="false" ht="20.1" hidden="false" customHeight="false" outlineLevel="0" collapsed="false">
      <c r="B30" s="3" t="s">
        <v>19</v>
      </c>
    </row>
    <row r="31" customFormat="false" ht="17.15" hidden="false" customHeight="false" outlineLevel="0" collapsed="false">
      <c r="B31" s="8" t="s">
        <v>20</v>
      </c>
    </row>
    <row r="32" customFormat="false" ht="17.15" hidden="false" customHeight="false" outlineLevel="0" collapsed="false">
      <c r="B32" s="8" t="s">
        <v>21</v>
      </c>
    </row>
    <row r="33" customFormat="false" ht="17.15" hidden="false" customHeight="false" outlineLevel="0" collapsed="false">
      <c r="B33" s="8" t="s">
        <v>22</v>
      </c>
    </row>
    <row r="36" customFormat="false" ht="20.1" hidden="false" customHeight="false" outlineLevel="0" collapsed="false">
      <c r="B36" s="3" t="s">
        <v>23</v>
      </c>
    </row>
    <row r="37" customFormat="false" ht="17.15" hidden="false" customHeight="false" outlineLevel="0" collapsed="false">
      <c r="B37" s="8" t="s">
        <v>24</v>
      </c>
    </row>
    <row r="38" customFormat="false" ht="17.15" hidden="false" customHeight="false" outlineLevel="0" collapsed="false">
      <c r="B38" s="8" t="s">
        <v>25</v>
      </c>
    </row>
    <row r="40" customFormat="false" ht="17.15" hidden="false" customHeight="false" outlineLevel="0" collapsed="false">
      <c r="B40" s="8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6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0"/>
  </cols>
  <sheetData>
    <row r="1" customFormat="false" ht="15" hidden="false" customHeight="false" outlineLevel="0" collapsed="false">
      <c r="A1" s="9" t="s">
        <v>27</v>
      </c>
      <c r="B1" s="9" t="s">
        <v>28</v>
      </c>
      <c r="C1" s="9" t="s">
        <v>29</v>
      </c>
      <c r="D1" s="9" t="s">
        <v>30</v>
      </c>
      <c r="E1" s="9" t="s">
        <v>31</v>
      </c>
      <c r="F1" s="9" t="s">
        <v>32</v>
      </c>
      <c r="G1" s="9" t="s">
        <v>33</v>
      </c>
      <c r="H1" s="9" t="s">
        <v>34</v>
      </c>
    </row>
    <row r="2" customFormat="false" ht="15" hidden="false" customHeight="false" outlineLevel="0" collapsed="false">
      <c r="A2" s="10" t="str">
        <f aca="false">IF(B2="","","P"&amp;TEXT(ROW()-1,"000"))</f>
        <v>P001</v>
      </c>
      <c r="B2" s="11" t="s">
        <v>35</v>
      </c>
      <c r="C2" s="12" t="s">
        <v>36</v>
      </c>
      <c r="D2" s="12" t="s">
        <v>37</v>
      </c>
      <c r="E2" s="13" t="n">
        <v>46037</v>
      </c>
      <c r="F2" s="13"/>
      <c r="G2" s="12" t="s">
        <v>38</v>
      </c>
      <c r="H2" s="12" t="s">
        <v>39</v>
      </c>
    </row>
    <row r="3" customFormat="false" ht="15" hidden="false" customHeight="false" outlineLevel="0" collapsed="false">
      <c r="A3" s="14" t="str">
        <f aca="false">IF(B3="","","P"&amp;TEXT(ROW()-1,"000"))</f>
        <v/>
      </c>
      <c r="B3" s="15"/>
      <c r="C3" s="15"/>
      <c r="D3" s="15"/>
      <c r="E3" s="16"/>
      <c r="F3" s="16"/>
      <c r="G3" s="15"/>
      <c r="H3" s="15"/>
    </row>
    <row r="4" customFormat="false" ht="15" hidden="false" customHeight="false" outlineLevel="0" collapsed="false">
      <c r="A4" s="14" t="str">
        <f aca="false">IF(B4="","","P"&amp;TEXT(ROW()-1,"000"))</f>
        <v/>
      </c>
      <c r="B4" s="15"/>
      <c r="C4" s="15"/>
      <c r="D4" s="15"/>
      <c r="E4" s="16"/>
      <c r="F4" s="16"/>
      <c r="G4" s="15"/>
      <c r="H4" s="15"/>
    </row>
    <row r="5" customFormat="false" ht="15" hidden="false" customHeight="false" outlineLevel="0" collapsed="false">
      <c r="A5" s="14" t="str">
        <f aca="false">IF(B5="","","P"&amp;TEXT(ROW()-1,"000"))</f>
        <v/>
      </c>
      <c r="B5" s="15"/>
      <c r="C5" s="15"/>
      <c r="D5" s="15"/>
      <c r="E5" s="16"/>
      <c r="F5" s="16"/>
      <c r="G5" s="15"/>
      <c r="H5" s="15"/>
    </row>
    <row r="6" customFormat="false" ht="15" hidden="false" customHeight="false" outlineLevel="0" collapsed="false">
      <c r="A6" s="14" t="str">
        <f aca="false">IF(B6="","","P"&amp;TEXT(ROW()-1,"000"))</f>
        <v/>
      </c>
      <c r="B6" s="15"/>
      <c r="C6" s="15"/>
      <c r="D6" s="15"/>
      <c r="E6" s="16"/>
      <c r="F6" s="16"/>
      <c r="G6" s="15"/>
      <c r="H6" s="15"/>
    </row>
    <row r="7" customFormat="false" ht="15" hidden="false" customHeight="false" outlineLevel="0" collapsed="false">
      <c r="A7" s="14" t="str">
        <f aca="false">IF(B7="","","P"&amp;TEXT(ROW()-1,"000"))</f>
        <v/>
      </c>
      <c r="B7" s="15"/>
      <c r="C7" s="15"/>
      <c r="D7" s="15"/>
      <c r="E7" s="16"/>
      <c r="F7" s="16"/>
      <c r="G7" s="15"/>
      <c r="H7" s="15"/>
    </row>
    <row r="8" customFormat="false" ht="15" hidden="false" customHeight="false" outlineLevel="0" collapsed="false">
      <c r="A8" s="14" t="str">
        <f aca="false">IF(B8="","","P"&amp;TEXT(ROW()-1,"000"))</f>
        <v/>
      </c>
      <c r="B8" s="15"/>
      <c r="C8" s="15"/>
      <c r="D8" s="15"/>
      <c r="E8" s="16"/>
      <c r="F8" s="16"/>
      <c r="G8" s="15"/>
      <c r="H8" s="15"/>
    </row>
    <row r="9" customFormat="false" ht="15" hidden="false" customHeight="false" outlineLevel="0" collapsed="false">
      <c r="A9" s="14" t="str">
        <f aca="false">IF(B9="","","P"&amp;TEXT(ROW()-1,"000"))</f>
        <v/>
      </c>
      <c r="B9" s="15"/>
      <c r="C9" s="15"/>
      <c r="D9" s="15"/>
      <c r="E9" s="16"/>
      <c r="F9" s="16"/>
      <c r="G9" s="15"/>
      <c r="H9" s="15"/>
    </row>
    <row r="10" customFormat="false" ht="15" hidden="false" customHeight="false" outlineLevel="0" collapsed="false">
      <c r="A10" s="14" t="str">
        <f aca="false">IF(B10="","","P"&amp;TEXT(ROW()-1,"000"))</f>
        <v/>
      </c>
      <c r="B10" s="15"/>
      <c r="C10" s="15"/>
      <c r="D10" s="15"/>
      <c r="E10" s="16"/>
      <c r="F10" s="16"/>
      <c r="G10" s="15"/>
      <c r="H10" s="15"/>
    </row>
    <row r="11" customFormat="false" ht="15" hidden="false" customHeight="false" outlineLevel="0" collapsed="false">
      <c r="A11" s="14" t="str">
        <f aca="false">IF(B11="","","P"&amp;TEXT(ROW()-1,"000"))</f>
        <v/>
      </c>
      <c r="B11" s="15"/>
      <c r="C11" s="15"/>
      <c r="D11" s="15"/>
      <c r="E11" s="16"/>
      <c r="F11" s="16"/>
      <c r="G11" s="15"/>
      <c r="H11" s="15"/>
    </row>
    <row r="12" customFormat="false" ht="15" hidden="false" customHeight="false" outlineLevel="0" collapsed="false">
      <c r="A12" s="14" t="str">
        <f aca="false">IF(B12="","","P"&amp;TEXT(ROW()-1,"000"))</f>
        <v/>
      </c>
      <c r="B12" s="15"/>
      <c r="C12" s="15"/>
      <c r="D12" s="15"/>
      <c r="E12" s="16"/>
      <c r="F12" s="16"/>
      <c r="G12" s="15"/>
      <c r="H12" s="15"/>
    </row>
    <row r="13" customFormat="false" ht="15" hidden="false" customHeight="false" outlineLevel="0" collapsed="false">
      <c r="A13" s="14" t="str">
        <f aca="false">IF(B13="","","P"&amp;TEXT(ROW()-1,"000"))</f>
        <v/>
      </c>
      <c r="B13" s="15"/>
      <c r="C13" s="15"/>
      <c r="D13" s="15"/>
      <c r="E13" s="16"/>
      <c r="F13" s="16"/>
      <c r="G13" s="15"/>
      <c r="H13" s="15"/>
    </row>
    <row r="14" customFormat="false" ht="15" hidden="false" customHeight="false" outlineLevel="0" collapsed="false">
      <c r="A14" s="14" t="str">
        <f aca="false">IF(B14="","","P"&amp;TEXT(ROW()-1,"000"))</f>
        <v/>
      </c>
      <c r="B14" s="15"/>
      <c r="C14" s="15"/>
      <c r="D14" s="15"/>
      <c r="E14" s="16"/>
      <c r="F14" s="16"/>
      <c r="G14" s="15"/>
      <c r="H14" s="15"/>
    </row>
    <row r="15" customFormat="false" ht="15" hidden="false" customHeight="false" outlineLevel="0" collapsed="false">
      <c r="A15" s="14" t="str">
        <f aca="false">IF(B15="","","P"&amp;TEXT(ROW()-1,"000"))</f>
        <v/>
      </c>
      <c r="B15" s="15"/>
      <c r="C15" s="15"/>
      <c r="D15" s="15"/>
      <c r="E15" s="16"/>
      <c r="F15" s="16"/>
      <c r="G15" s="15"/>
      <c r="H15" s="15"/>
    </row>
    <row r="16" customFormat="false" ht="15" hidden="false" customHeight="false" outlineLevel="0" collapsed="false">
      <c r="A16" s="14" t="str">
        <f aca="false">IF(B16="","","P"&amp;TEXT(ROW()-1,"000"))</f>
        <v/>
      </c>
      <c r="B16" s="15"/>
      <c r="C16" s="15"/>
      <c r="D16" s="15"/>
      <c r="E16" s="16"/>
      <c r="F16" s="16"/>
      <c r="G16" s="15"/>
      <c r="H16" s="15"/>
    </row>
    <row r="17" customFormat="false" ht="15" hidden="false" customHeight="false" outlineLevel="0" collapsed="false">
      <c r="A17" s="14" t="str">
        <f aca="false">IF(B17="","","P"&amp;TEXT(ROW()-1,"000"))</f>
        <v/>
      </c>
      <c r="B17" s="15"/>
      <c r="C17" s="15"/>
      <c r="D17" s="15"/>
      <c r="E17" s="16"/>
      <c r="F17" s="16"/>
      <c r="G17" s="15"/>
      <c r="H17" s="15"/>
    </row>
    <row r="18" customFormat="false" ht="15" hidden="false" customHeight="false" outlineLevel="0" collapsed="false">
      <c r="A18" s="14" t="str">
        <f aca="false">IF(B18="","","P"&amp;TEXT(ROW()-1,"000"))</f>
        <v/>
      </c>
      <c r="B18" s="15"/>
      <c r="C18" s="15"/>
      <c r="D18" s="15"/>
      <c r="E18" s="16"/>
      <c r="F18" s="16"/>
      <c r="G18" s="15"/>
      <c r="H18" s="15"/>
    </row>
    <row r="19" customFormat="false" ht="15" hidden="false" customHeight="false" outlineLevel="0" collapsed="false">
      <c r="A19" s="14" t="str">
        <f aca="false">IF(B19="","","P"&amp;TEXT(ROW()-1,"000"))</f>
        <v/>
      </c>
      <c r="B19" s="15"/>
      <c r="C19" s="15"/>
      <c r="D19" s="15"/>
      <c r="E19" s="16"/>
      <c r="F19" s="16"/>
      <c r="G19" s="15"/>
      <c r="H19" s="15"/>
    </row>
    <row r="20" customFormat="false" ht="15" hidden="false" customHeight="false" outlineLevel="0" collapsed="false">
      <c r="A20" s="14" t="str">
        <f aca="false">IF(B20="","","P"&amp;TEXT(ROW()-1,"000"))</f>
        <v/>
      </c>
      <c r="B20" s="15"/>
      <c r="C20" s="15"/>
      <c r="D20" s="15"/>
      <c r="E20" s="16"/>
      <c r="F20" s="16"/>
      <c r="G20" s="15"/>
      <c r="H20" s="15"/>
    </row>
    <row r="21" customFormat="false" ht="15" hidden="false" customHeight="false" outlineLevel="0" collapsed="false">
      <c r="A21" s="14" t="str">
        <f aca="false">IF(B21="","","P"&amp;TEXT(ROW()-1,"000"))</f>
        <v/>
      </c>
      <c r="B21" s="15"/>
      <c r="C21" s="15"/>
      <c r="D21" s="15"/>
      <c r="E21" s="16"/>
      <c r="F21" s="16"/>
      <c r="G21" s="15"/>
      <c r="H21" s="15"/>
    </row>
    <row r="22" customFormat="false" ht="15" hidden="false" customHeight="false" outlineLevel="0" collapsed="false">
      <c r="A22" s="14" t="str">
        <f aca="false">IF(B22="","","P"&amp;TEXT(ROW()-1,"000"))</f>
        <v/>
      </c>
      <c r="B22" s="15"/>
      <c r="C22" s="15"/>
      <c r="D22" s="15"/>
      <c r="E22" s="16"/>
      <c r="F22" s="16"/>
      <c r="G22" s="15"/>
      <c r="H22" s="15"/>
    </row>
    <row r="23" customFormat="false" ht="15" hidden="false" customHeight="false" outlineLevel="0" collapsed="false">
      <c r="A23" s="14" t="str">
        <f aca="false">IF(B23="","","P"&amp;TEXT(ROW()-1,"000"))</f>
        <v/>
      </c>
      <c r="B23" s="15"/>
      <c r="C23" s="15"/>
      <c r="D23" s="15"/>
      <c r="E23" s="16"/>
      <c r="F23" s="16"/>
      <c r="G23" s="15"/>
      <c r="H23" s="15"/>
    </row>
    <row r="24" customFormat="false" ht="15" hidden="false" customHeight="false" outlineLevel="0" collapsed="false">
      <c r="A24" s="14" t="str">
        <f aca="false">IF(B24="","","P"&amp;TEXT(ROW()-1,"000"))</f>
        <v/>
      </c>
      <c r="B24" s="15"/>
      <c r="C24" s="15"/>
      <c r="D24" s="15"/>
      <c r="E24" s="16"/>
      <c r="F24" s="16"/>
      <c r="G24" s="15"/>
      <c r="H24" s="15"/>
    </row>
    <row r="25" customFormat="false" ht="15" hidden="false" customHeight="false" outlineLevel="0" collapsed="false">
      <c r="A25" s="14" t="str">
        <f aca="false">IF(B25="","","P"&amp;TEXT(ROW()-1,"000"))</f>
        <v/>
      </c>
      <c r="B25" s="15"/>
      <c r="C25" s="15"/>
      <c r="D25" s="15"/>
      <c r="E25" s="16"/>
      <c r="F25" s="16"/>
      <c r="G25" s="15"/>
      <c r="H25" s="15"/>
    </row>
    <row r="26" customFormat="false" ht="15" hidden="false" customHeight="false" outlineLevel="0" collapsed="false">
      <c r="A26" s="14" t="str">
        <f aca="false">IF(B26="","","P"&amp;TEXT(ROW()-1,"000"))</f>
        <v/>
      </c>
      <c r="B26" s="15"/>
      <c r="C26" s="15"/>
      <c r="D26" s="15"/>
      <c r="E26" s="16"/>
      <c r="F26" s="16"/>
      <c r="G26" s="15"/>
      <c r="H26" s="15"/>
    </row>
    <row r="27" customFormat="false" ht="15" hidden="false" customHeight="false" outlineLevel="0" collapsed="false">
      <c r="A27" s="14" t="str">
        <f aca="false">IF(B27="","","P"&amp;TEXT(ROW()-1,"000"))</f>
        <v/>
      </c>
      <c r="B27" s="15"/>
      <c r="C27" s="15"/>
      <c r="D27" s="15"/>
      <c r="E27" s="16"/>
      <c r="F27" s="16"/>
      <c r="G27" s="15"/>
      <c r="H27" s="15"/>
    </row>
    <row r="28" customFormat="false" ht="15" hidden="false" customHeight="false" outlineLevel="0" collapsed="false">
      <c r="A28" s="14" t="str">
        <f aca="false">IF(B28="","","P"&amp;TEXT(ROW()-1,"000"))</f>
        <v/>
      </c>
      <c r="B28" s="15"/>
      <c r="C28" s="15"/>
      <c r="D28" s="15"/>
      <c r="E28" s="16"/>
      <c r="F28" s="16"/>
      <c r="G28" s="15"/>
      <c r="H28" s="15"/>
    </row>
    <row r="29" customFormat="false" ht="15" hidden="false" customHeight="false" outlineLevel="0" collapsed="false">
      <c r="A29" s="14" t="str">
        <f aca="false">IF(B29="","","P"&amp;TEXT(ROW()-1,"000"))</f>
        <v/>
      </c>
      <c r="B29" s="15"/>
      <c r="C29" s="15"/>
      <c r="D29" s="15"/>
      <c r="E29" s="16"/>
      <c r="F29" s="16"/>
      <c r="G29" s="15"/>
      <c r="H29" s="15"/>
    </row>
    <row r="30" customFormat="false" ht="15" hidden="false" customHeight="false" outlineLevel="0" collapsed="false">
      <c r="A30" s="14" t="str">
        <f aca="false">IF(B30="","","P"&amp;TEXT(ROW()-1,"000"))</f>
        <v/>
      </c>
      <c r="B30" s="15"/>
      <c r="C30" s="15"/>
      <c r="D30" s="15"/>
      <c r="E30" s="16"/>
      <c r="F30" s="16"/>
      <c r="G30" s="15"/>
      <c r="H30" s="15"/>
    </row>
    <row r="31" customFormat="false" ht="15" hidden="false" customHeight="false" outlineLevel="0" collapsed="false">
      <c r="A31" s="14" t="str">
        <f aca="false">IF(B31="","","P"&amp;TEXT(ROW()-1,"000"))</f>
        <v/>
      </c>
      <c r="B31" s="15"/>
      <c r="C31" s="15"/>
      <c r="D31" s="15"/>
      <c r="E31" s="16"/>
      <c r="F31" s="16"/>
      <c r="G31" s="15"/>
      <c r="H31" s="15"/>
    </row>
    <row r="32" customFormat="false" ht="15" hidden="false" customHeight="false" outlineLevel="0" collapsed="false">
      <c r="A32" s="14" t="str">
        <f aca="false">IF(B32="","","P"&amp;TEXT(ROW()-1,"000"))</f>
        <v/>
      </c>
      <c r="B32" s="15"/>
      <c r="C32" s="15"/>
      <c r="D32" s="15"/>
      <c r="E32" s="16"/>
      <c r="F32" s="16"/>
      <c r="G32" s="15"/>
      <c r="H32" s="15"/>
    </row>
    <row r="33" customFormat="false" ht="15" hidden="false" customHeight="false" outlineLevel="0" collapsed="false">
      <c r="A33" s="14" t="str">
        <f aca="false">IF(B33="","","P"&amp;TEXT(ROW()-1,"000"))</f>
        <v/>
      </c>
      <c r="B33" s="15"/>
      <c r="C33" s="15"/>
      <c r="D33" s="15"/>
      <c r="E33" s="16"/>
      <c r="F33" s="16"/>
      <c r="G33" s="15"/>
      <c r="H33" s="15"/>
    </row>
    <row r="34" customFormat="false" ht="15" hidden="false" customHeight="false" outlineLevel="0" collapsed="false">
      <c r="A34" s="14" t="str">
        <f aca="false">IF(B34="","","P"&amp;TEXT(ROW()-1,"000"))</f>
        <v/>
      </c>
      <c r="B34" s="15"/>
      <c r="C34" s="15"/>
      <c r="D34" s="15"/>
      <c r="E34" s="16"/>
      <c r="F34" s="16"/>
      <c r="G34" s="15"/>
      <c r="H34" s="15"/>
    </row>
    <row r="35" customFormat="false" ht="15" hidden="false" customHeight="false" outlineLevel="0" collapsed="false">
      <c r="A35" s="14" t="str">
        <f aca="false">IF(B35="","","P"&amp;TEXT(ROW()-1,"000"))</f>
        <v/>
      </c>
      <c r="B35" s="15"/>
      <c r="C35" s="15"/>
      <c r="D35" s="15"/>
      <c r="E35" s="16"/>
      <c r="F35" s="16"/>
      <c r="G35" s="15"/>
      <c r="H35" s="15"/>
    </row>
    <row r="36" customFormat="false" ht="15" hidden="false" customHeight="false" outlineLevel="0" collapsed="false">
      <c r="A36" s="14" t="str">
        <f aca="false">IF(B36="","","P"&amp;TEXT(ROW()-1,"000"))</f>
        <v/>
      </c>
      <c r="B36" s="15"/>
      <c r="C36" s="15"/>
      <c r="D36" s="15"/>
      <c r="E36" s="16"/>
      <c r="F36" s="16"/>
      <c r="G36" s="15"/>
      <c r="H36" s="15"/>
    </row>
    <row r="37" customFormat="false" ht="15" hidden="false" customHeight="false" outlineLevel="0" collapsed="false">
      <c r="A37" s="14" t="str">
        <f aca="false">IF(B37="","","P"&amp;TEXT(ROW()-1,"000"))</f>
        <v/>
      </c>
      <c r="B37" s="15"/>
      <c r="C37" s="15"/>
      <c r="D37" s="15"/>
      <c r="E37" s="16"/>
      <c r="F37" s="16"/>
      <c r="G37" s="15"/>
      <c r="H37" s="15"/>
    </row>
    <row r="38" customFormat="false" ht="15" hidden="false" customHeight="false" outlineLevel="0" collapsed="false">
      <c r="A38" s="14" t="str">
        <f aca="false">IF(B38="","","P"&amp;TEXT(ROW()-1,"000"))</f>
        <v/>
      </c>
      <c r="B38" s="15"/>
      <c r="C38" s="15"/>
      <c r="D38" s="15"/>
      <c r="E38" s="16"/>
      <c r="F38" s="16"/>
      <c r="G38" s="15"/>
      <c r="H38" s="15"/>
    </row>
    <row r="39" customFormat="false" ht="15" hidden="false" customHeight="false" outlineLevel="0" collapsed="false">
      <c r="A39" s="14" t="str">
        <f aca="false">IF(B39="","","P"&amp;TEXT(ROW()-1,"000"))</f>
        <v/>
      </c>
      <c r="B39" s="15"/>
      <c r="C39" s="15"/>
      <c r="D39" s="15"/>
      <c r="E39" s="16"/>
      <c r="F39" s="16"/>
      <c r="G39" s="15"/>
      <c r="H39" s="15"/>
    </row>
    <row r="40" customFormat="false" ht="15" hidden="false" customHeight="false" outlineLevel="0" collapsed="false">
      <c r="A40" s="14" t="str">
        <f aca="false">IF(B40="","","P"&amp;TEXT(ROW()-1,"000"))</f>
        <v/>
      </c>
      <c r="B40" s="15"/>
      <c r="C40" s="15"/>
      <c r="D40" s="15"/>
      <c r="E40" s="16"/>
      <c r="F40" s="16"/>
      <c r="G40" s="15"/>
      <c r="H40" s="15"/>
    </row>
    <row r="41" customFormat="false" ht="15" hidden="false" customHeight="false" outlineLevel="0" collapsed="false">
      <c r="A41" s="14" t="str">
        <f aca="false">IF(B41="","","P"&amp;TEXT(ROW()-1,"000"))</f>
        <v/>
      </c>
      <c r="B41" s="15"/>
      <c r="C41" s="15"/>
      <c r="D41" s="15"/>
      <c r="E41" s="16"/>
      <c r="F41" s="16"/>
      <c r="G41" s="15"/>
      <c r="H41" s="15"/>
    </row>
    <row r="42" customFormat="false" ht="15" hidden="false" customHeight="false" outlineLevel="0" collapsed="false">
      <c r="A42" s="14" t="str">
        <f aca="false">IF(B42="","","P"&amp;TEXT(ROW()-1,"000"))</f>
        <v/>
      </c>
      <c r="B42" s="15"/>
      <c r="C42" s="15"/>
      <c r="D42" s="15"/>
      <c r="E42" s="16"/>
      <c r="F42" s="16"/>
      <c r="G42" s="15"/>
      <c r="H42" s="15"/>
    </row>
    <row r="43" customFormat="false" ht="15" hidden="false" customHeight="false" outlineLevel="0" collapsed="false">
      <c r="A43" s="14" t="str">
        <f aca="false">IF(B43="","","P"&amp;TEXT(ROW()-1,"000"))</f>
        <v/>
      </c>
      <c r="B43" s="15"/>
      <c r="C43" s="15"/>
      <c r="D43" s="15"/>
      <c r="E43" s="16"/>
      <c r="F43" s="16"/>
      <c r="G43" s="15"/>
      <c r="H43" s="15"/>
    </row>
    <row r="44" customFormat="false" ht="15" hidden="false" customHeight="false" outlineLevel="0" collapsed="false">
      <c r="A44" s="14" t="str">
        <f aca="false">IF(B44="","","P"&amp;TEXT(ROW()-1,"000"))</f>
        <v/>
      </c>
      <c r="B44" s="15"/>
      <c r="C44" s="15"/>
      <c r="D44" s="15"/>
      <c r="E44" s="16"/>
      <c r="F44" s="16"/>
      <c r="G44" s="15"/>
      <c r="H44" s="15"/>
    </row>
    <row r="45" customFormat="false" ht="15" hidden="false" customHeight="false" outlineLevel="0" collapsed="false">
      <c r="A45" s="14" t="str">
        <f aca="false">IF(B45="","","P"&amp;TEXT(ROW()-1,"000"))</f>
        <v/>
      </c>
      <c r="B45" s="15"/>
      <c r="C45" s="15"/>
      <c r="D45" s="15"/>
      <c r="E45" s="16"/>
      <c r="F45" s="16"/>
      <c r="G45" s="15"/>
      <c r="H45" s="15"/>
    </row>
    <row r="46" customFormat="false" ht="15" hidden="false" customHeight="false" outlineLevel="0" collapsed="false">
      <c r="A46" s="14" t="str">
        <f aca="false">IF(B46="","","P"&amp;TEXT(ROW()-1,"000"))</f>
        <v/>
      </c>
      <c r="B46" s="15"/>
      <c r="C46" s="15"/>
      <c r="D46" s="15"/>
      <c r="E46" s="16"/>
      <c r="F46" s="16"/>
      <c r="G46" s="15"/>
      <c r="H46" s="15"/>
    </row>
    <row r="47" customFormat="false" ht="15" hidden="false" customHeight="false" outlineLevel="0" collapsed="false">
      <c r="A47" s="14" t="str">
        <f aca="false">IF(B47="","","P"&amp;TEXT(ROW()-1,"000"))</f>
        <v/>
      </c>
      <c r="B47" s="15"/>
      <c r="C47" s="15"/>
      <c r="D47" s="15"/>
      <c r="E47" s="16"/>
      <c r="F47" s="16"/>
      <c r="G47" s="15"/>
      <c r="H47" s="15"/>
    </row>
    <row r="48" customFormat="false" ht="15" hidden="false" customHeight="false" outlineLevel="0" collapsed="false">
      <c r="A48" s="14" t="str">
        <f aca="false">IF(B48="","","P"&amp;TEXT(ROW()-1,"000"))</f>
        <v/>
      </c>
      <c r="B48" s="15"/>
      <c r="C48" s="15"/>
      <c r="D48" s="15"/>
      <c r="E48" s="16"/>
      <c r="F48" s="16"/>
      <c r="G48" s="15"/>
      <c r="H48" s="15"/>
    </row>
    <row r="49" customFormat="false" ht="15" hidden="false" customHeight="false" outlineLevel="0" collapsed="false">
      <c r="A49" s="14" t="str">
        <f aca="false">IF(B49="","","P"&amp;TEXT(ROW()-1,"000"))</f>
        <v/>
      </c>
      <c r="B49" s="15"/>
      <c r="C49" s="15"/>
      <c r="D49" s="15"/>
      <c r="E49" s="16"/>
      <c r="F49" s="16"/>
      <c r="G49" s="15"/>
      <c r="H49" s="15"/>
    </row>
    <row r="50" customFormat="false" ht="15" hidden="false" customHeight="false" outlineLevel="0" collapsed="false">
      <c r="A50" s="14" t="str">
        <f aca="false">IF(B50="","","P"&amp;TEXT(ROW()-1,"000"))</f>
        <v/>
      </c>
      <c r="B50" s="15"/>
      <c r="C50" s="15"/>
      <c r="D50" s="15"/>
      <c r="E50" s="16"/>
      <c r="F50" s="16"/>
      <c r="G50" s="15"/>
      <c r="H50" s="15"/>
    </row>
    <row r="51" customFormat="false" ht="15" hidden="false" customHeight="false" outlineLevel="0" collapsed="false">
      <c r="A51" s="14" t="str">
        <f aca="false">IF(B51="","","P"&amp;TEXT(ROW()-1,"000"))</f>
        <v/>
      </c>
      <c r="B51" s="15"/>
      <c r="C51" s="15"/>
      <c r="D51" s="15"/>
      <c r="E51" s="16"/>
      <c r="F51" s="16"/>
      <c r="G51" s="15"/>
      <c r="H51" s="15"/>
    </row>
    <row r="52" customFormat="false" ht="15" hidden="false" customHeight="false" outlineLevel="0" collapsed="false">
      <c r="A52" s="14" t="str">
        <f aca="false">IF(B52="","","P"&amp;TEXT(ROW()-1,"000"))</f>
        <v/>
      </c>
      <c r="B52" s="15"/>
      <c r="C52" s="15"/>
      <c r="D52" s="15"/>
      <c r="E52" s="16"/>
      <c r="F52" s="16"/>
      <c r="G52" s="15"/>
      <c r="H52" s="15"/>
    </row>
    <row r="53" customFormat="false" ht="15" hidden="false" customHeight="false" outlineLevel="0" collapsed="false">
      <c r="A53" s="14" t="str">
        <f aca="false">IF(B53="","","P"&amp;TEXT(ROW()-1,"000"))</f>
        <v/>
      </c>
      <c r="B53" s="15"/>
      <c r="C53" s="15"/>
      <c r="D53" s="15"/>
      <c r="E53" s="16"/>
      <c r="F53" s="16"/>
      <c r="G53" s="15"/>
      <c r="H53" s="15"/>
    </row>
    <row r="54" customFormat="false" ht="15" hidden="false" customHeight="false" outlineLevel="0" collapsed="false">
      <c r="A54" s="14" t="str">
        <f aca="false">IF(B54="","","P"&amp;TEXT(ROW()-1,"000"))</f>
        <v/>
      </c>
      <c r="B54" s="15"/>
      <c r="C54" s="15"/>
      <c r="D54" s="15"/>
      <c r="E54" s="16"/>
      <c r="F54" s="16"/>
      <c r="G54" s="15"/>
      <c r="H54" s="15"/>
    </row>
    <row r="55" customFormat="false" ht="15" hidden="false" customHeight="false" outlineLevel="0" collapsed="false">
      <c r="A55" s="14" t="str">
        <f aca="false">IF(B55="","","P"&amp;TEXT(ROW()-1,"000"))</f>
        <v/>
      </c>
      <c r="B55" s="15"/>
      <c r="C55" s="15"/>
      <c r="D55" s="15"/>
      <c r="E55" s="16"/>
      <c r="F55" s="16"/>
      <c r="G55" s="15"/>
      <c r="H55" s="15"/>
    </row>
    <row r="56" customFormat="false" ht="15" hidden="false" customHeight="false" outlineLevel="0" collapsed="false">
      <c r="A56" s="14" t="str">
        <f aca="false">IF(B56="","","P"&amp;TEXT(ROW()-1,"000"))</f>
        <v/>
      </c>
      <c r="B56" s="15"/>
      <c r="C56" s="15"/>
      <c r="D56" s="15"/>
      <c r="E56" s="16"/>
      <c r="F56" s="16"/>
      <c r="G56" s="15"/>
      <c r="H56" s="15"/>
    </row>
    <row r="57" customFormat="false" ht="15" hidden="false" customHeight="false" outlineLevel="0" collapsed="false">
      <c r="A57" s="14" t="str">
        <f aca="false">IF(B57="","","P"&amp;TEXT(ROW()-1,"000"))</f>
        <v/>
      </c>
      <c r="B57" s="15"/>
      <c r="C57" s="15"/>
      <c r="D57" s="15"/>
      <c r="E57" s="16"/>
      <c r="F57" s="16"/>
      <c r="G57" s="15"/>
      <c r="H57" s="15"/>
    </row>
    <row r="58" customFormat="false" ht="15" hidden="false" customHeight="false" outlineLevel="0" collapsed="false">
      <c r="A58" s="14" t="str">
        <f aca="false">IF(B58="","","P"&amp;TEXT(ROW()-1,"000"))</f>
        <v/>
      </c>
      <c r="B58" s="15"/>
      <c r="C58" s="15"/>
      <c r="D58" s="15"/>
      <c r="E58" s="16"/>
      <c r="F58" s="16"/>
      <c r="G58" s="15"/>
      <c r="H58" s="15"/>
    </row>
    <row r="59" customFormat="false" ht="15" hidden="false" customHeight="false" outlineLevel="0" collapsed="false">
      <c r="A59" s="14" t="str">
        <f aca="false">IF(B59="","","P"&amp;TEXT(ROW()-1,"000"))</f>
        <v/>
      </c>
      <c r="B59" s="15"/>
      <c r="C59" s="15"/>
      <c r="D59" s="15"/>
      <c r="E59" s="16"/>
      <c r="F59" s="16"/>
      <c r="G59" s="15"/>
      <c r="H59" s="15"/>
    </row>
    <row r="60" customFormat="false" ht="15" hidden="false" customHeight="false" outlineLevel="0" collapsed="false">
      <c r="A60" s="14" t="str">
        <f aca="false">IF(B60="","","P"&amp;TEXT(ROW()-1,"000"))</f>
        <v/>
      </c>
      <c r="B60" s="15"/>
      <c r="C60" s="15"/>
      <c r="D60" s="15"/>
      <c r="E60" s="16"/>
      <c r="F60" s="16"/>
      <c r="G60" s="15"/>
      <c r="H60" s="15"/>
    </row>
    <row r="61" customFormat="false" ht="15" hidden="false" customHeight="false" outlineLevel="0" collapsed="false">
      <c r="A61" s="14" t="str">
        <f aca="false">IF(B61="","","P"&amp;TEXT(ROW()-1,"000"))</f>
        <v/>
      </c>
      <c r="B61" s="15"/>
      <c r="C61" s="15"/>
      <c r="D61" s="15"/>
      <c r="E61" s="16"/>
      <c r="F61" s="16"/>
      <c r="G61" s="15"/>
      <c r="H61" s="15"/>
    </row>
    <row r="62" customFormat="false" ht="15" hidden="false" customHeight="false" outlineLevel="0" collapsed="false">
      <c r="A62" s="14" t="str">
        <f aca="false">IF(B62="","","P"&amp;TEXT(ROW()-1,"000"))</f>
        <v/>
      </c>
      <c r="B62" s="15"/>
      <c r="C62" s="15"/>
      <c r="D62" s="15"/>
      <c r="E62" s="16"/>
      <c r="F62" s="16"/>
      <c r="G62" s="15"/>
      <c r="H62" s="15"/>
    </row>
    <row r="63" customFormat="false" ht="15" hidden="false" customHeight="false" outlineLevel="0" collapsed="false">
      <c r="A63" s="14" t="str">
        <f aca="false">IF(B63="","","P"&amp;TEXT(ROW()-1,"000"))</f>
        <v/>
      </c>
      <c r="B63" s="15"/>
      <c r="C63" s="15"/>
      <c r="D63" s="15"/>
      <c r="E63" s="16"/>
      <c r="F63" s="16"/>
      <c r="G63" s="15"/>
      <c r="H63" s="15"/>
    </row>
    <row r="64" customFormat="false" ht="15" hidden="false" customHeight="false" outlineLevel="0" collapsed="false">
      <c r="A64" s="14" t="str">
        <f aca="false">IF(B64="","","P"&amp;TEXT(ROW()-1,"000"))</f>
        <v/>
      </c>
      <c r="B64" s="15"/>
      <c r="C64" s="15"/>
      <c r="D64" s="15"/>
      <c r="E64" s="16"/>
      <c r="F64" s="16"/>
      <c r="G64" s="15"/>
      <c r="H64" s="15"/>
    </row>
    <row r="65" customFormat="false" ht="15" hidden="false" customHeight="false" outlineLevel="0" collapsed="false">
      <c r="A65" s="14" t="str">
        <f aca="false">IF(B65="","","P"&amp;TEXT(ROW()-1,"000"))</f>
        <v/>
      </c>
      <c r="B65" s="15"/>
      <c r="C65" s="15"/>
      <c r="D65" s="15"/>
      <c r="E65" s="16"/>
      <c r="F65" s="16"/>
      <c r="G65" s="15"/>
      <c r="H65" s="15"/>
    </row>
    <row r="66" customFormat="false" ht="15" hidden="false" customHeight="false" outlineLevel="0" collapsed="false">
      <c r="A66" s="14" t="str">
        <f aca="false">IF(B66="","","P"&amp;TEXT(ROW()-1,"000"))</f>
        <v/>
      </c>
      <c r="B66" s="15"/>
      <c r="C66" s="15"/>
      <c r="D66" s="15"/>
      <c r="E66" s="16"/>
      <c r="F66" s="16"/>
      <c r="G66" s="15"/>
      <c r="H66" s="15"/>
    </row>
    <row r="67" customFormat="false" ht="15" hidden="false" customHeight="false" outlineLevel="0" collapsed="false">
      <c r="A67" s="14" t="str">
        <f aca="false">IF(B67="","","P"&amp;TEXT(ROW()-1,"000"))</f>
        <v/>
      </c>
      <c r="B67" s="15"/>
      <c r="C67" s="15"/>
      <c r="D67" s="15"/>
      <c r="E67" s="16"/>
      <c r="F67" s="16"/>
      <c r="G67" s="15"/>
      <c r="H67" s="15"/>
    </row>
    <row r="68" customFormat="false" ht="15" hidden="false" customHeight="false" outlineLevel="0" collapsed="false">
      <c r="A68" s="14" t="str">
        <f aca="false">IF(B68="","","P"&amp;TEXT(ROW()-1,"000"))</f>
        <v/>
      </c>
      <c r="B68" s="15"/>
      <c r="C68" s="15"/>
      <c r="D68" s="15"/>
      <c r="E68" s="16"/>
      <c r="F68" s="16"/>
      <c r="G68" s="15"/>
      <c r="H68" s="15"/>
    </row>
    <row r="69" customFormat="false" ht="15" hidden="false" customHeight="false" outlineLevel="0" collapsed="false">
      <c r="A69" s="14" t="str">
        <f aca="false">IF(B69="","","P"&amp;TEXT(ROW()-1,"000"))</f>
        <v/>
      </c>
      <c r="B69" s="15"/>
      <c r="C69" s="15"/>
      <c r="D69" s="15"/>
      <c r="E69" s="16"/>
      <c r="F69" s="16"/>
      <c r="G69" s="15"/>
      <c r="H69" s="15"/>
    </row>
    <row r="70" customFormat="false" ht="15" hidden="false" customHeight="false" outlineLevel="0" collapsed="false">
      <c r="A70" s="14" t="str">
        <f aca="false">IF(B70="","","P"&amp;TEXT(ROW()-1,"000"))</f>
        <v/>
      </c>
      <c r="B70" s="15"/>
      <c r="C70" s="15"/>
      <c r="D70" s="15"/>
      <c r="E70" s="16"/>
      <c r="F70" s="16"/>
      <c r="G70" s="15"/>
      <c r="H70" s="15"/>
    </row>
    <row r="71" customFormat="false" ht="15" hidden="false" customHeight="false" outlineLevel="0" collapsed="false">
      <c r="A71" s="14" t="str">
        <f aca="false">IF(B71="","","P"&amp;TEXT(ROW()-1,"000"))</f>
        <v/>
      </c>
      <c r="B71" s="15"/>
      <c r="C71" s="15"/>
      <c r="D71" s="15"/>
      <c r="E71" s="16"/>
      <c r="F71" s="16"/>
      <c r="G71" s="15"/>
      <c r="H71" s="15"/>
    </row>
    <row r="72" customFormat="false" ht="15" hidden="false" customHeight="false" outlineLevel="0" collapsed="false">
      <c r="A72" s="14" t="str">
        <f aca="false">IF(B72="","","P"&amp;TEXT(ROW()-1,"000"))</f>
        <v/>
      </c>
      <c r="B72" s="15"/>
      <c r="C72" s="15"/>
      <c r="D72" s="15"/>
      <c r="E72" s="16"/>
      <c r="F72" s="16"/>
      <c r="G72" s="15"/>
      <c r="H72" s="15"/>
    </row>
    <row r="73" customFormat="false" ht="15" hidden="false" customHeight="false" outlineLevel="0" collapsed="false">
      <c r="A73" s="14" t="str">
        <f aca="false">IF(B73="","","P"&amp;TEXT(ROW()-1,"000"))</f>
        <v/>
      </c>
      <c r="B73" s="15"/>
      <c r="C73" s="15"/>
      <c r="D73" s="15"/>
      <c r="E73" s="16"/>
      <c r="F73" s="16"/>
      <c r="G73" s="15"/>
      <c r="H73" s="15"/>
    </row>
    <row r="74" customFormat="false" ht="15" hidden="false" customHeight="false" outlineLevel="0" collapsed="false">
      <c r="A74" s="14" t="str">
        <f aca="false">IF(B74="","","P"&amp;TEXT(ROW()-1,"000"))</f>
        <v/>
      </c>
      <c r="B74" s="15"/>
      <c r="C74" s="15"/>
      <c r="D74" s="15"/>
      <c r="E74" s="16"/>
      <c r="F74" s="16"/>
      <c r="G74" s="15"/>
      <c r="H74" s="15"/>
    </row>
    <row r="75" customFormat="false" ht="15" hidden="false" customHeight="false" outlineLevel="0" collapsed="false">
      <c r="A75" s="14" t="str">
        <f aca="false">IF(B75="","","P"&amp;TEXT(ROW()-1,"000"))</f>
        <v/>
      </c>
      <c r="B75" s="15"/>
      <c r="C75" s="15"/>
      <c r="D75" s="15"/>
      <c r="E75" s="16"/>
      <c r="F75" s="16"/>
      <c r="G75" s="15"/>
      <c r="H75" s="15"/>
    </row>
    <row r="76" customFormat="false" ht="15" hidden="false" customHeight="false" outlineLevel="0" collapsed="false">
      <c r="A76" s="14" t="str">
        <f aca="false">IF(B76="","","P"&amp;TEXT(ROW()-1,"000"))</f>
        <v/>
      </c>
      <c r="B76" s="15"/>
      <c r="C76" s="15"/>
      <c r="D76" s="15"/>
      <c r="E76" s="16"/>
      <c r="F76" s="16"/>
      <c r="G76" s="15"/>
      <c r="H76" s="15"/>
    </row>
    <row r="77" customFormat="false" ht="15" hidden="false" customHeight="false" outlineLevel="0" collapsed="false">
      <c r="A77" s="14" t="str">
        <f aca="false">IF(B77="","","P"&amp;TEXT(ROW()-1,"000"))</f>
        <v/>
      </c>
      <c r="B77" s="15"/>
      <c r="C77" s="15"/>
      <c r="D77" s="15"/>
      <c r="E77" s="16"/>
      <c r="F77" s="16"/>
      <c r="G77" s="15"/>
      <c r="H77" s="15"/>
    </row>
    <row r="78" customFormat="false" ht="15" hidden="false" customHeight="false" outlineLevel="0" collapsed="false">
      <c r="A78" s="14" t="str">
        <f aca="false">IF(B78="","","P"&amp;TEXT(ROW()-1,"000"))</f>
        <v/>
      </c>
      <c r="B78" s="15"/>
      <c r="C78" s="15"/>
      <c r="D78" s="15"/>
      <c r="E78" s="16"/>
      <c r="F78" s="16"/>
      <c r="G78" s="15"/>
      <c r="H78" s="15"/>
    </row>
    <row r="79" customFormat="false" ht="15" hidden="false" customHeight="false" outlineLevel="0" collapsed="false">
      <c r="A79" s="14" t="str">
        <f aca="false">IF(B79="","","P"&amp;TEXT(ROW()-1,"000"))</f>
        <v/>
      </c>
      <c r="B79" s="15"/>
      <c r="C79" s="15"/>
      <c r="D79" s="15"/>
      <c r="E79" s="16"/>
      <c r="F79" s="16"/>
      <c r="G79" s="15"/>
      <c r="H79" s="15"/>
    </row>
    <row r="80" customFormat="false" ht="15" hidden="false" customHeight="false" outlineLevel="0" collapsed="false">
      <c r="A80" s="14" t="str">
        <f aca="false">IF(B80="","","P"&amp;TEXT(ROW()-1,"000"))</f>
        <v/>
      </c>
      <c r="B80" s="15"/>
      <c r="C80" s="15"/>
      <c r="D80" s="15"/>
      <c r="E80" s="16"/>
      <c r="F80" s="16"/>
      <c r="G80" s="15"/>
      <c r="H80" s="15"/>
    </row>
    <row r="81" customFormat="false" ht="15" hidden="false" customHeight="false" outlineLevel="0" collapsed="false">
      <c r="A81" s="14" t="str">
        <f aca="false">IF(B81="","","P"&amp;TEXT(ROW()-1,"000"))</f>
        <v/>
      </c>
      <c r="B81" s="15"/>
      <c r="C81" s="15"/>
      <c r="D81" s="15"/>
      <c r="E81" s="16"/>
      <c r="F81" s="16"/>
      <c r="G81" s="15"/>
      <c r="H81" s="15"/>
    </row>
    <row r="82" customFormat="false" ht="15" hidden="false" customHeight="false" outlineLevel="0" collapsed="false">
      <c r="A82" s="14" t="str">
        <f aca="false">IF(B82="","","P"&amp;TEXT(ROW()-1,"000"))</f>
        <v/>
      </c>
      <c r="B82" s="15"/>
      <c r="C82" s="15"/>
      <c r="D82" s="15"/>
      <c r="E82" s="16"/>
      <c r="F82" s="16"/>
      <c r="G82" s="15"/>
      <c r="H82" s="15"/>
    </row>
    <row r="83" customFormat="false" ht="15" hidden="false" customHeight="false" outlineLevel="0" collapsed="false">
      <c r="A83" s="14" t="str">
        <f aca="false">IF(B83="","","P"&amp;TEXT(ROW()-1,"000"))</f>
        <v/>
      </c>
      <c r="B83" s="15"/>
      <c r="C83" s="15"/>
      <c r="D83" s="15"/>
      <c r="E83" s="16"/>
      <c r="F83" s="16"/>
      <c r="G83" s="15"/>
      <c r="H83" s="15"/>
    </row>
    <row r="84" customFormat="false" ht="15" hidden="false" customHeight="false" outlineLevel="0" collapsed="false">
      <c r="A84" s="14" t="str">
        <f aca="false">IF(B84="","","P"&amp;TEXT(ROW()-1,"000"))</f>
        <v/>
      </c>
      <c r="B84" s="15"/>
      <c r="C84" s="15"/>
      <c r="D84" s="15"/>
      <c r="E84" s="16"/>
      <c r="F84" s="16"/>
      <c r="G84" s="15"/>
      <c r="H84" s="15"/>
    </row>
    <row r="85" customFormat="false" ht="15" hidden="false" customHeight="false" outlineLevel="0" collapsed="false">
      <c r="A85" s="14" t="str">
        <f aca="false">IF(B85="","","P"&amp;TEXT(ROW()-1,"000"))</f>
        <v/>
      </c>
      <c r="B85" s="15"/>
      <c r="C85" s="15"/>
      <c r="D85" s="15"/>
      <c r="E85" s="16"/>
      <c r="F85" s="16"/>
      <c r="G85" s="15"/>
      <c r="H85" s="15"/>
    </row>
    <row r="86" customFormat="false" ht="15" hidden="false" customHeight="false" outlineLevel="0" collapsed="false">
      <c r="A86" s="14" t="str">
        <f aca="false">IF(B86="","","P"&amp;TEXT(ROW()-1,"000"))</f>
        <v/>
      </c>
      <c r="B86" s="15"/>
      <c r="C86" s="15"/>
      <c r="D86" s="15"/>
      <c r="E86" s="16"/>
      <c r="F86" s="16"/>
      <c r="G86" s="15"/>
      <c r="H86" s="15"/>
    </row>
    <row r="87" customFormat="false" ht="15" hidden="false" customHeight="false" outlineLevel="0" collapsed="false">
      <c r="A87" s="14" t="str">
        <f aca="false">IF(B87="","","P"&amp;TEXT(ROW()-1,"000"))</f>
        <v/>
      </c>
      <c r="B87" s="15"/>
      <c r="C87" s="15"/>
      <c r="D87" s="15"/>
      <c r="E87" s="16"/>
      <c r="F87" s="16"/>
      <c r="G87" s="15"/>
      <c r="H87" s="15"/>
    </row>
    <row r="88" customFormat="false" ht="15" hidden="false" customHeight="false" outlineLevel="0" collapsed="false">
      <c r="A88" s="14" t="str">
        <f aca="false">IF(B88="","","P"&amp;TEXT(ROW()-1,"000"))</f>
        <v/>
      </c>
      <c r="B88" s="15"/>
      <c r="C88" s="15"/>
      <c r="D88" s="15"/>
      <c r="E88" s="16"/>
      <c r="F88" s="16"/>
      <c r="G88" s="15"/>
      <c r="H88" s="15"/>
    </row>
    <row r="89" customFormat="false" ht="15" hidden="false" customHeight="false" outlineLevel="0" collapsed="false">
      <c r="A89" s="14" t="str">
        <f aca="false">IF(B89="","","P"&amp;TEXT(ROW()-1,"000"))</f>
        <v/>
      </c>
      <c r="B89" s="15"/>
      <c r="C89" s="15"/>
      <c r="D89" s="15"/>
      <c r="E89" s="16"/>
      <c r="F89" s="16"/>
      <c r="G89" s="15"/>
      <c r="H89" s="15"/>
    </row>
    <row r="90" customFormat="false" ht="15" hidden="false" customHeight="false" outlineLevel="0" collapsed="false">
      <c r="A90" s="14" t="str">
        <f aca="false">IF(B90="","","P"&amp;TEXT(ROW()-1,"000"))</f>
        <v/>
      </c>
      <c r="B90" s="15"/>
      <c r="C90" s="15"/>
      <c r="D90" s="15"/>
      <c r="E90" s="16"/>
      <c r="F90" s="16"/>
      <c r="G90" s="15"/>
      <c r="H90" s="15"/>
    </row>
    <row r="91" customFormat="false" ht="15" hidden="false" customHeight="false" outlineLevel="0" collapsed="false">
      <c r="A91" s="14" t="str">
        <f aca="false">IF(B91="","","P"&amp;TEXT(ROW()-1,"000"))</f>
        <v/>
      </c>
      <c r="B91" s="15"/>
      <c r="C91" s="15"/>
      <c r="D91" s="15"/>
      <c r="E91" s="16"/>
      <c r="F91" s="16"/>
      <c r="G91" s="15"/>
      <c r="H91" s="15"/>
    </row>
    <row r="92" customFormat="false" ht="15" hidden="false" customHeight="false" outlineLevel="0" collapsed="false">
      <c r="A92" s="14" t="str">
        <f aca="false">IF(B92="","","P"&amp;TEXT(ROW()-1,"000"))</f>
        <v/>
      </c>
      <c r="B92" s="15"/>
      <c r="C92" s="15"/>
      <c r="D92" s="15"/>
      <c r="E92" s="16"/>
      <c r="F92" s="16"/>
      <c r="G92" s="15"/>
      <c r="H92" s="15"/>
    </row>
    <row r="93" customFormat="false" ht="15" hidden="false" customHeight="false" outlineLevel="0" collapsed="false">
      <c r="A93" s="14" t="str">
        <f aca="false">IF(B93="","","P"&amp;TEXT(ROW()-1,"000"))</f>
        <v/>
      </c>
      <c r="B93" s="15"/>
      <c r="C93" s="15"/>
      <c r="D93" s="15"/>
      <c r="E93" s="16"/>
      <c r="F93" s="16"/>
      <c r="G93" s="15"/>
      <c r="H93" s="15"/>
    </row>
    <row r="94" customFormat="false" ht="15" hidden="false" customHeight="false" outlineLevel="0" collapsed="false">
      <c r="A94" s="14" t="str">
        <f aca="false">IF(B94="","","P"&amp;TEXT(ROW()-1,"000"))</f>
        <v/>
      </c>
      <c r="B94" s="15"/>
      <c r="C94" s="15"/>
      <c r="D94" s="15"/>
      <c r="E94" s="16"/>
      <c r="F94" s="16"/>
      <c r="G94" s="15"/>
      <c r="H94" s="15"/>
    </row>
    <row r="95" customFormat="false" ht="15" hidden="false" customHeight="false" outlineLevel="0" collapsed="false">
      <c r="A95" s="14" t="str">
        <f aca="false">IF(B95="","","P"&amp;TEXT(ROW()-1,"000"))</f>
        <v/>
      </c>
      <c r="B95" s="15"/>
      <c r="C95" s="15"/>
      <c r="D95" s="15"/>
      <c r="E95" s="16"/>
      <c r="F95" s="16"/>
      <c r="G95" s="15"/>
      <c r="H95" s="15"/>
    </row>
    <row r="96" customFormat="false" ht="15" hidden="false" customHeight="false" outlineLevel="0" collapsed="false">
      <c r="A96" s="14" t="str">
        <f aca="false">IF(B96="","","P"&amp;TEXT(ROW()-1,"000"))</f>
        <v/>
      </c>
      <c r="B96" s="15"/>
      <c r="C96" s="15"/>
      <c r="D96" s="15"/>
      <c r="E96" s="16"/>
      <c r="F96" s="16"/>
      <c r="G96" s="15"/>
      <c r="H96" s="15"/>
    </row>
    <row r="97" customFormat="false" ht="15" hidden="false" customHeight="false" outlineLevel="0" collapsed="false">
      <c r="A97" s="14" t="str">
        <f aca="false">IF(B97="","","P"&amp;TEXT(ROW()-1,"000"))</f>
        <v/>
      </c>
      <c r="B97" s="15"/>
      <c r="C97" s="15"/>
      <c r="D97" s="15"/>
      <c r="E97" s="16"/>
      <c r="F97" s="16"/>
      <c r="G97" s="15"/>
      <c r="H97" s="15"/>
    </row>
    <row r="98" customFormat="false" ht="15" hidden="false" customHeight="false" outlineLevel="0" collapsed="false">
      <c r="A98" s="14" t="str">
        <f aca="false">IF(B98="","","P"&amp;TEXT(ROW()-1,"000"))</f>
        <v/>
      </c>
      <c r="B98" s="15"/>
      <c r="C98" s="15"/>
      <c r="D98" s="15"/>
      <c r="E98" s="16"/>
      <c r="F98" s="16"/>
      <c r="G98" s="15"/>
      <c r="H98" s="15"/>
    </row>
    <row r="99" customFormat="false" ht="15" hidden="false" customHeight="false" outlineLevel="0" collapsed="false">
      <c r="A99" s="14" t="str">
        <f aca="false">IF(B99="","","P"&amp;TEXT(ROW()-1,"000"))</f>
        <v/>
      </c>
      <c r="B99" s="15"/>
      <c r="C99" s="15"/>
      <c r="D99" s="15"/>
      <c r="E99" s="16"/>
      <c r="F99" s="16"/>
      <c r="G99" s="15"/>
      <c r="H99" s="15"/>
    </row>
    <row r="100" customFormat="false" ht="15" hidden="false" customHeight="false" outlineLevel="0" collapsed="false">
      <c r="A100" s="14" t="str">
        <f aca="false">IF(B100="","","P"&amp;TEXT(ROW()-1,"000"))</f>
        <v/>
      </c>
      <c r="B100" s="15"/>
      <c r="C100" s="15"/>
      <c r="D100" s="15"/>
      <c r="E100" s="16"/>
      <c r="F100" s="16"/>
      <c r="G100" s="15"/>
      <c r="H100" s="15"/>
    </row>
    <row r="101" customFormat="false" ht="15" hidden="false" customHeight="false" outlineLevel="0" collapsed="false">
      <c r="A101" s="14" t="str">
        <f aca="false">IF(B101="","","P"&amp;TEXT(ROW()-1,"000"))</f>
        <v/>
      </c>
      <c r="B101" s="15"/>
      <c r="C101" s="15"/>
      <c r="D101" s="15"/>
      <c r="E101" s="16"/>
      <c r="F101" s="16"/>
      <c r="G101" s="15"/>
      <c r="H101" s="15"/>
    </row>
    <row r="102" customFormat="false" ht="15" hidden="false" customHeight="false" outlineLevel="0" collapsed="false">
      <c r="A102" s="14" t="str">
        <f aca="false">IF(B102="","","P"&amp;TEXT(ROW()-1,"000"))</f>
        <v/>
      </c>
      <c r="B102" s="15"/>
      <c r="C102" s="15"/>
      <c r="D102" s="15"/>
      <c r="E102" s="16"/>
      <c r="F102" s="16"/>
      <c r="G102" s="15"/>
      <c r="H102" s="15"/>
    </row>
    <row r="103" customFormat="false" ht="15" hidden="false" customHeight="false" outlineLevel="0" collapsed="false">
      <c r="A103" s="14" t="str">
        <f aca="false">IF(B103="","","P"&amp;TEXT(ROW()-1,"000"))</f>
        <v/>
      </c>
      <c r="B103" s="15"/>
      <c r="C103" s="15"/>
      <c r="D103" s="15"/>
      <c r="E103" s="16"/>
      <c r="F103" s="16"/>
      <c r="G103" s="15"/>
      <c r="H103" s="15"/>
    </row>
    <row r="104" customFormat="false" ht="15" hidden="false" customHeight="false" outlineLevel="0" collapsed="false">
      <c r="A104" s="14" t="str">
        <f aca="false">IF(B104="","","P"&amp;TEXT(ROW()-1,"000"))</f>
        <v/>
      </c>
      <c r="B104" s="15"/>
      <c r="C104" s="15"/>
      <c r="D104" s="15"/>
      <c r="E104" s="16"/>
      <c r="F104" s="16"/>
      <c r="G104" s="15"/>
      <c r="H104" s="15"/>
    </row>
    <row r="105" customFormat="false" ht="15" hidden="false" customHeight="false" outlineLevel="0" collapsed="false">
      <c r="A105" s="14" t="str">
        <f aca="false">IF(B105="","","P"&amp;TEXT(ROW()-1,"000"))</f>
        <v/>
      </c>
      <c r="B105" s="15"/>
      <c r="C105" s="15"/>
      <c r="D105" s="15"/>
      <c r="E105" s="16"/>
      <c r="F105" s="16"/>
      <c r="G105" s="15"/>
      <c r="H105" s="15"/>
    </row>
    <row r="106" customFormat="false" ht="15" hidden="false" customHeight="false" outlineLevel="0" collapsed="false">
      <c r="A106" s="14" t="str">
        <f aca="false">IF(B106="","","P"&amp;TEXT(ROW()-1,"000"))</f>
        <v/>
      </c>
      <c r="B106" s="15"/>
      <c r="C106" s="15"/>
      <c r="D106" s="15"/>
      <c r="E106" s="16"/>
      <c r="F106" s="16"/>
      <c r="G106" s="15"/>
      <c r="H106" s="15"/>
    </row>
    <row r="107" customFormat="false" ht="15" hidden="false" customHeight="false" outlineLevel="0" collapsed="false">
      <c r="A107" s="14" t="str">
        <f aca="false">IF(B107="","","P"&amp;TEXT(ROW()-1,"000"))</f>
        <v/>
      </c>
      <c r="B107" s="15"/>
      <c r="C107" s="15"/>
      <c r="D107" s="15"/>
      <c r="E107" s="16"/>
      <c r="F107" s="16"/>
      <c r="G107" s="15"/>
      <c r="H107" s="15"/>
    </row>
    <row r="108" customFormat="false" ht="15" hidden="false" customHeight="false" outlineLevel="0" collapsed="false">
      <c r="A108" s="14" t="str">
        <f aca="false">IF(B108="","","P"&amp;TEXT(ROW()-1,"000"))</f>
        <v/>
      </c>
      <c r="B108" s="15"/>
      <c r="C108" s="15"/>
      <c r="D108" s="15"/>
      <c r="E108" s="16"/>
      <c r="F108" s="16"/>
      <c r="G108" s="15"/>
      <c r="H108" s="15"/>
    </row>
    <row r="109" customFormat="false" ht="15" hidden="false" customHeight="false" outlineLevel="0" collapsed="false">
      <c r="A109" s="14" t="str">
        <f aca="false">IF(B109="","","P"&amp;TEXT(ROW()-1,"000"))</f>
        <v/>
      </c>
      <c r="B109" s="15"/>
      <c r="C109" s="15"/>
      <c r="D109" s="15"/>
      <c r="E109" s="16"/>
      <c r="F109" s="16"/>
      <c r="G109" s="15"/>
      <c r="H109" s="15"/>
    </row>
    <row r="110" customFormat="false" ht="15" hidden="false" customHeight="false" outlineLevel="0" collapsed="false">
      <c r="A110" s="14" t="str">
        <f aca="false">IF(B110="","","P"&amp;TEXT(ROW()-1,"000"))</f>
        <v/>
      </c>
      <c r="B110" s="15"/>
      <c r="C110" s="15"/>
      <c r="D110" s="15"/>
      <c r="E110" s="16"/>
      <c r="F110" s="16"/>
      <c r="G110" s="15"/>
      <c r="H110" s="15"/>
    </row>
    <row r="111" customFormat="false" ht="15" hidden="false" customHeight="false" outlineLevel="0" collapsed="false">
      <c r="A111" s="14" t="str">
        <f aca="false">IF(B111="","","P"&amp;TEXT(ROW()-1,"000"))</f>
        <v/>
      </c>
      <c r="B111" s="15"/>
      <c r="C111" s="15"/>
      <c r="D111" s="15"/>
      <c r="E111" s="16"/>
      <c r="F111" s="16"/>
      <c r="G111" s="15"/>
      <c r="H111" s="15"/>
    </row>
    <row r="112" customFormat="false" ht="15" hidden="false" customHeight="false" outlineLevel="0" collapsed="false">
      <c r="A112" s="14" t="str">
        <f aca="false">IF(B112="","","P"&amp;TEXT(ROW()-1,"000"))</f>
        <v/>
      </c>
      <c r="B112" s="15"/>
      <c r="C112" s="15"/>
      <c r="D112" s="15"/>
      <c r="E112" s="16"/>
      <c r="F112" s="16"/>
      <c r="G112" s="15"/>
      <c r="H112" s="15"/>
    </row>
    <row r="113" customFormat="false" ht="15" hidden="false" customHeight="false" outlineLevel="0" collapsed="false">
      <c r="A113" s="14" t="str">
        <f aca="false">IF(B113="","","P"&amp;TEXT(ROW()-1,"000"))</f>
        <v/>
      </c>
      <c r="B113" s="15"/>
      <c r="C113" s="15"/>
      <c r="D113" s="15"/>
      <c r="E113" s="16"/>
      <c r="F113" s="16"/>
      <c r="G113" s="15"/>
      <c r="H113" s="15"/>
    </row>
    <row r="114" customFormat="false" ht="15" hidden="false" customHeight="false" outlineLevel="0" collapsed="false">
      <c r="A114" s="14" t="str">
        <f aca="false">IF(B114="","","P"&amp;TEXT(ROW()-1,"000"))</f>
        <v/>
      </c>
      <c r="B114" s="15"/>
      <c r="C114" s="15"/>
      <c r="D114" s="15"/>
      <c r="E114" s="16"/>
      <c r="F114" s="16"/>
      <c r="G114" s="15"/>
      <c r="H114" s="15"/>
    </row>
    <row r="115" customFormat="false" ht="15" hidden="false" customHeight="false" outlineLevel="0" collapsed="false">
      <c r="A115" s="14" t="str">
        <f aca="false">IF(B115="","","P"&amp;TEXT(ROW()-1,"000"))</f>
        <v/>
      </c>
      <c r="B115" s="15"/>
      <c r="C115" s="15"/>
      <c r="D115" s="15"/>
      <c r="E115" s="16"/>
      <c r="F115" s="16"/>
      <c r="G115" s="15"/>
      <c r="H115" s="15"/>
    </row>
    <row r="116" customFormat="false" ht="15" hidden="false" customHeight="false" outlineLevel="0" collapsed="false">
      <c r="A116" s="14" t="str">
        <f aca="false">IF(B116="","","P"&amp;TEXT(ROW()-1,"000"))</f>
        <v/>
      </c>
      <c r="B116" s="15"/>
      <c r="C116" s="15"/>
      <c r="D116" s="15"/>
      <c r="E116" s="16"/>
      <c r="F116" s="16"/>
      <c r="G116" s="15"/>
      <c r="H116" s="15"/>
    </row>
    <row r="117" customFormat="false" ht="15" hidden="false" customHeight="false" outlineLevel="0" collapsed="false">
      <c r="A117" s="14" t="str">
        <f aca="false">IF(B117="","","P"&amp;TEXT(ROW()-1,"000"))</f>
        <v/>
      </c>
      <c r="B117" s="15"/>
      <c r="C117" s="15"/>
      <c r="D117" s="15"/>
      <c r="E117" s="16"/>
      <c r="F117" s="16"/>
      <c r="G117" s="15"/>
      <c r="H117" s="15"/>
    </row>
    <row r="118" customFormat="false" ht="15" hidden="false" customHeight="false" outlineLevel="0" collapsed="false">
      <c r="A118" s="14" t="str">
        <f aca="false">IF(B118="","","P"&amp;TEXT(ROW()-1,"000"))</f>
        <v/>
      </c>
      <c r="B118" s="15"/>
      <c r="C118" s="15"/>
      <c r="D118" s="15"/>
      <c r="E118" s="16"/>
      <c r="F118" s="16"/>
      <c r="G118" s="15"/>
      <c r="H118" s="15"/>
    </row>
    <row r="119" customFormat="false" ht="15" hidden="false" customHeight="false" outlineLevel="0" collapsed="false">
      <c r="A119" s="14" t="str">
        <f aca="false">IF(B119="","","P"&amp;TEXT(ROW()-1,"000"))</f>
        <v/>
      </c>
      <c r="B119" s="15"/>
      <c r="C119" s="15"/>
      <c r="D119" s="15"/>
      <c r="E119" s="16"/>
      <c r="F119" s="16"/>
      <c r="G119" s="15"/>
      <c r="H119" s="15"/>
    </row>
    <row r="120" customFormat="false" ht="15" hidden="false" customHeight="false" outlineLevel="0" collapsed="false">
      <c r="A120" s="14" t="str">
        <f aca="false">IF(B120="","","P"&amp;TEXT(ROW()-1,"000"))</f>
        <v/>
      </c>
      <c r="B120" s="15"/>
      <c r="C120" s="15"/>
      <c r="D120" s="15"/>
      <c r="E120" s="16"/>
      <c r="F120" s="16"/>
      <c r="G120" s="15"/>
      <c r="H120" s="15"/>
    </row>
    <row r="121" customFormat="false" ht="15" hidden="false" customHeight="false" outlineLevel="0" collapsed="false">
      <c r="A121" s="14" t="str">
        <f aca="false">IF(B121="","","P"&amp;TEXT(ROW()-1,"000"))</f>
        <v/>
      </c>
      <c r="B121" s="15"/>
      <c r="C121" s="15"/>
      <c r="D121" s="15"/>
      <c r="E121" s="16"/>
      <c r="F121" s="16"/>
      <c r="G121" s="15"/>
      <c r="H121" s="15"/>
    </row>
    <row r="122" customFormat="false" ht="15" hidden="false" customHeight="false" outlineLevel="0" collapsed="false">
      <c r="A122" s="14" t="str">
        <f aca="false">IF(B122="","","P"&amp;TEXT(ROW()-1,"000"))</f>
        <v/>
      </c>
      <c r="B122" s="15"/>
      <c r="C122" s="15"/>
      <c r="D122" s="15"/>
      <c r="E122" s="16"/>
      <c r="F122" s="16"/>
      <c r="G122" s="15"/>
      <c r="H122" s="15"/>
    </row>
    <row r="123" customFormat="false" ht="15" hidden="false" customHeight="false" outlineLevel="0" collapsed="false">
      <c r="A123" s="14" t="str">
        <f aca="false">IF(B123="","","P"&amp;TEXT(ROW()-1,"000"))</f>
        <v/>
      </c>
      <c r="B123" s="15"/>
      <c r="C123" s="15"/>
      <c r="D123" s="15"/>
      <c r="E123" s="16"/>
      <c r="F123" s="16"/>
      <c r="G123" s="15"/>
      <c r="H123" s="15"/>
    </row>
    <row r="124" customFormat="false" ht="15" hidden="false" customHeight="false" outlineLevel="0" collapsed="false">
      <c r="A124" s="14" t="str">
        <f aca="false">IF(B124="","","P"&amp;TEXT(ROW()-1,"000"))</f>
        <v/>
      </c>
      <c r="B124" s="15"/>
      <c r="C124" s="15"/>
      <c r="D124" s="15"/>
      <c r="E124" s="16"/>
      <c r="F124" s="16"/>
      <c r="G124" s="15"/>
      <c r="H124" s="15"/>
    </row>
    <row r="125" customFormat="false" ht="15" hidden="false" customHeight="false" outlineLevel="0" collapsed="false">
      <c r="A125" s="14" t="str">
        <f aca="false">IF(B125="","","P"&amp;TEXT(ROW()-1,"000"))</f>
        <v/>
      </c>
      <c r="B125" s="15"/>
      <c r="C125" s="15"/>
      <c r="D125" s="15"/>
      <c r="E125" s="16"/>
      <c r="F125" s="16"/>
      <c r="G125" s="15"/>
      <c r="H125" s="15"/>
    </row>
    <row r="126" customFormat="false" ht="15" hidden="false" customHeight="false" outlineLevel="0" collapsed="false">
      <c r="A126" s="14" t="str">
        <f aca="false">IF(B126="","","P"&amp;TEXT(ROW()-1,"000"))</f>
        <v/>
      </c>
      <c r="B126" s="15"/>
      <c r="C126" s="15"/>
      <c r="D126" s="15"/>
      <c r="E126" s="16"/>
      <c r="F126" s="16"/>
      <c r="G126" s="15"/>
      <c r="H126" s="15"/>
    </row>
    <row r="127" customFormat="false" ht="15" hidden="false" customHeight="false" outlineLevel="0" collapsed="false">
      <c r="A127" s="14" t="str">
        <f aca="false">IF(B127="","","P"&amp;TEXT(ROW()-1,"000"))</f>
        <v/>
      </c>
      <c r="B127" s="15"/>
      <c r="C127" s="15"/>
      <c r="D127" s="15"/>
      <c r="E127" s="16"/>
      <c r="F127" s="16"/>
      <c r="G127" s="15"/>
      <c r="H127" s="15"/>
    </row>
    <row r="128" customFormat="false" ht="15" hidden="false" customHeight="false" outlineLevel="0" collapsed="false">
      <c r="A128" s="14" t="str">
        <f aca="false">IF(B128="","","P"&amp;TEXT(ROW()-1,"000"))</f>
        <v/>
      </c>
      <c r="B128" s="15"/>
      <c r="C128" s="15"/>
      <c r="D128" s="15"/>
      <c r="E128" s="16"/>
      <c r="F128" s="16"/>
      <c r="G128" s="15"/>
      <c r="H128" s="15"/>
    </row>
    <row r="129" customFormat="false" ht="15" hidden="false" customHeight="false" outlineLevel="0" collapsed="false">
      <c r="A129" s="14" t="str">
        <f aca="false">IF(B129="","","P"&amp;TEXT(ROW()-1,"000"))</f>
        <v/>
      </c>
      <c r="B129" s="15"/>
      <c r="C129" s="15"/>
      <c r="D129" s="15"/>
      <c r="E129" s="16"/>
      <c r="F129" s="16"/>
      <c r="G129" s="15"/>
      <c r="H129" s="15"/>
    </row>
    <row r="130" customFormat="false" ht="15" hidden="false" customHeight="false" outlineLevel="0" collapsed="false">
      <c r="A130" s="14" t="str">
        <f aca="false">IF(B130="","","P"&amp;TEXT(ROW()-1,"000"))</f>
        <v/>
      </c>
      <c r="B130" s="15"/>
      <c r="C130" s="15"/>
      <c r="D130" s="15"/>
      <c r="E130" s="16"/>
      <c r="F130" s="16"/>
      <c r="G130" s="15"/>
      <c r="H130" s="15"/>
    </row>
    <row r="131" customFormat="false" ht="15" hidden="false" customHeight="false" outlineLevel="0" collapsed="false">
      <c r="A131" s="14" t="str">
        <f aca="false">IF(B131="","","P"&amp;TEXT(ROW()-1,"000"))</f>
        <v/>
      </c>
      <c r="B131" s="15"/>
      <c r="C131" s="15"/>
      <c r="D131" s="15"/>
      <c r="E131" s="16"/>
      <c r="F131" s="16"/>
      <c r="G131" s="15"/>
      <c r="H131" s="15"/>
    </row>
    <row r="132" customFormat="false" ht="15" hidden="false" customHeight="false" outlineLevel="0" collapsed="false">
      <c r="A132" s="14" t="str">
        <f aca="false">IF(B132="","","P"&amp;TEXT(ROW()-1,"000"))</f>
        <v/>
      </c>
      <c r="B132" s="15"/>
      <c r="C132" s="15"/>
      <c r="D132" s="15"/>
      <c r="E132" s="16"/>
      <c r="F132" s="16"/>
      <c r="G132" s="15"/>
      <c r="H132" s="15"/>
    </row>
    <row r="133" customFormat="false" ht="15" hidden="false" customHeight="false" outlineLevel="0" collapsed="false">
      <c r="A133" s="14" t="str">
        <f aca="false">IF(B133="","","P"&amp;TEXT(ROW()-1,"000"))</f>
        <v/>
      </c>
      <c r="B133" s="15"/>
      <c r="C133" s="15"/>
      <c r="D133" s="15"/>
      <c r="E133" s="16"/>
      <c r="F133" s="16"/>
      <c r="G133" s="15"/>
      <c r="H133" s="15"/>
    </row>
    <row r="134" customFormat="false" ht="15" hidden="false" customHeight="false" outlineLevel="0" collapsed="false">
      <c r="A134" s="14" t="str">
        <f aca="false">IF(B134="","","P"&amp;TEXT(ROW()-1,"000"))</f>
        <v/>
      </c>
      <c r="B134" s="15"/>
      <c r="C134" s="15"/>
      <c r="D134" s="15"/>
      <c r="E134" s="16"/>
      <c r="F134" s="16"/>
      <c r="G134" s="15"/>
      <c r="H134" s="15"/>
    </row>
    <row r="135" customFormat="false" ht="15" hidden="false" customHeight="false" outlineLevel="0" collapsed="false">
      <c r="A135" s="14" t="str">
        <f aca="false">IF(B135="","","P"&amp;TEXT(ROW()-1,"000"))</f>
        <v/>
      </c>
      <c r="B135" s="15"/>
      <c r="C135" s="15"/>
      <c r="D135" s="15"/>
      <c r="E135" s="16"/>
      <c r="F135" s="16"/>
      <c r="G135" s="15"/>
      <c r="H135" s="15"/>
    </row>
    <row r="136" customFormat="false" ht="15" hidden="false" customHeight="false" outlineLevel="0" collapsed="false">
      <c r="A136" s="14" t="str">
        <f aca="false">IF(B136="","","P"&amp;TEXT(ROW()-1,"000"))</f>
        <v/>
      </c>
      <c r="B136" s="15"/>
      <c r="C136" s="15"/>
      <c r="D136" s="15"/>
      <c r="E136" s="16"/>
      <c r="F136" s="16"/>
      <c r="G136" s="15"/>
      <c r="H136" s="15"/>
    </row>
    <row r="137" customFormat="false" ht="15" hidden="false" customHeight="false" outlineLevel="0" collapsed="false">
      <c r="A137" s="14" t="str">
        <f aca="false">IF(B137="","","P"&amp;TEXT(ROW()-1,"000"))</f>
        <v/>
      </c>
      <c r="B137" s="15"/>
      <c r="C137" s="15"/>
      <c r="D137" s="15"/>
      <c r="E137" s="16"/>
      <c r="F137" s="16"/>
      <c r="G137" s="15"/>
      <c r="H137" s="15"/>
    </row>
    <row r="138" customFormat="false" ht="15" hidden="false" customHeight="false" outlineLevel="0" collapsed="false">
      <c r="A138" s="14" t="str">
        <f aca="false">IF(B138="","","P"&amp;TEXT(ROW()-1,"000"))</f>
        <v/>
      </c>
      <c r="B138" s="15"/>
      <c r="C138" s="15"/>
      <c r="D138" s="15"/>
      <c r="E138" s="16"/>
      <c r="F138" s="16"/>
      <c r="G138" s="15"/>
      <c r="H138" s="15"/>
    </row>
    <row r="139" customFormat="false" ht="15" hidden="false" customHeight="false" outlineLevel="0" collapsed="false">
      <c r="A139" s="14" t="str">
        <f aca="false">IF(B139="","","P"&amp;TEXT(ROW()-1,"000"))</f>
        <v/>
      </c>
      <c r="B139" s="15"/>
      <c r="C139" s="15"/>
      <c r="D139" s="15"/>
      <c r="E139" s="16"/>
      <c r="F139" s="16"/>
      <c r="G139" s="15"/>
      <c r="H139" s="15"/>
    </row>
    <row r="140" customFormat="false" ht="15" hidden="false" customHeight="false" outlineLevel="0" collapsed="false">
      <c r="A140" s="14" t="str">
        <f aca="false">IF(B140="","","P"&amp;TEXT(ROW()-1,"000"))</f>
        <v/>
      </c>
      <c r="B140" s="15"/>
      <c r="C140" s="15"/>
      <c r="D140" s="15"/>
      <c r="E140" s="16"/>
      <c r="F140" s="16"/>
      <c r="G140" s="15"/>
      <c r="H140" s="15"/>
    </row>
    <row r="141" customFormat="false" ht="15" hidden="false" customHeight="false" outlineLevel="0" collapsed="false">
      <c r="A141" s="14" t="str">
        <f aca="false">IF(B141="","","P"&amp;TEXT(ROW()-1,"000"))</f>
        <v/>
      </c>
      <c r="B141" s="15"/>
      <c r="C141" s="15"/>
      <c r="D141" s="15"/>
      <c r="E141" s="16"/>
      <c r="F141" s="16"/>
      <c r="G141" s="15"/>
      <c r="H141" s="15"/>
    </row>
    <row r="142" customFormat="false" ht="15" hidden="false" customHeight="false" outlineLevel="0" collapsed="false">
      <c r="A142" s="14" t="str">
        <f aca="false">IF(B142="","","P"&amp;TEXT(ROW()-1,"000"))</f>
        <v/>
      </c>
      <c r="B142" s="15"/>
      <c r="C142" s="15"/>
      <c r="D142" s="15"/>
      <c r="E142" s="16"/>
      <c r="F142" s="16"/>
      <c r="G142" s="15"/>
      <c r="H142" s="15"/>
    </row>
    <row r="143" customFormat="false" ht="15" hidden="false" customHeight="false" outlineLevel="0" collapsed="false">
      <c r="A143" s="14" t="str">
        <f aca="false">IF(B143="","","P"&amp;TEXT(ROW()-1,"000"))</f>
        <v/>
      </c>
      <c r="B143" s="15"/>
      <c r="C143" s="15"/>
      <c r="D143" s="15"/>
      <c r="E143" s="16"/>
      <c r="F143" s="16"/>
      <c r="G143" s="15"/>
      <c r="H143" s="15"/>
    </row>
    <row r="144" customFormat="false" ht="15" hidden="false" customHeight="false" outlineLevel="0" collapsed="false">
      <c r="A144" s="14" t="str">
        <f aca="false">IF(B144="","","P"&amp;TEXT(ROW()-1,"000"))</f>
        <v/>
      </c>
      <c r="B144" s="15"/>
      <c r="C144" s="15"/>
      <c r="D144" s="15"/>
      <c r="E144" s="16"/>
      <c r="F144" s="16"/>
      <c r="G144" s="15"/>
      <c r="H144" s="15"/>
    </row>
    <row r="145" customFormat="false" ht="15" hidden="false" customHeight="false" outlineLevel="0" collapsed="false">
      <c r="A145" s="14" t="str">
        <f aca="false">IF(B145="","","P"&amp;TEXT(ROW()-1,"000"))</f>
        <v/>
      </c>
      <c r="B145" s="15"/>
      <c r="C145" s="15"/>
      <c r="D145" s="15"/>
      <c r="E145" s="16"/>
      <c r="F145" s="16"/>
      <c r="G145" s="15"/>
      <c r="H145" s="15"/>
    </row>
    <row r="146" customFormat="false" ht="15" hidden="false" customHeight="false" outlineLevel="0" collapsed="false">
      <c r="A146" s="14" t="str">
        <f aca="false">IF(B146="","","P"&amp;TEXT(ROW()-1,"000"))</f>
        <v/>
      </c>
      <c r="B146" s="15"/>
      <c r="C146" s="15"/>
      <c r="D146" s="15"/>
      <c r="E146" s="16"/>
      <c r="F146" s="16"/>
      <c r="G146" s="15"/>
      <c r="H146" s="15"/>
    </row>
    <row r="147" customFormat="false" ht="15" hidden="false" customHeight="false" outlineLevel="0" collapsed="false">
      <c r="A147" s="14" t="str">
        <f aca="false">IF(B147="","","P"&amp;TEXT(ROW()-1,"000"))</f>
        <v/>
      </c>
      <c r="B147" s="15"/>
      <c r="C147" s="15"/>
      <c r="D147" s="15"/>
      <c r="E147" s="16"/>
      <c r="F147" s="16"/>
      <c r="G147" s="15"/>
      <c r="H147" s="15"/>
    </row>
    <row r="148" customFormat="false" ht="15" hidden="false" customHeight="false" outlineLevel="0" collapsed="false">
      <c r="A148" s="14" t="str">
        <f aca="false">IF(B148="","","P"&amp;TEXT(ROW()-1,"000"))</f>
        <v/>
      </c>
      <c r="B148" s="15"/>
      <c r="C148" s="15"/>
      <c r="D148" s="15"/>
      <c r="E148" s="16"/>
      <c r="F148" s="16"/>
      <c r="G148" s="15"/>
      <c r="H148" s="15"/>
    </row>
    <row r="149" customFormat="false" ht="15" hidden="false" customHeight="false" outlineLevel="0" collapsed="false">
      <c r="A149" s="14" t="str">
        <f aca="false">IF(B149="","","P"&amp;TEXT(ROW()-1,"000"))</f>
        <v/>
      </c>
      <c r="B149" s="15"/>
      <c r="C149" s="15"/>
      <c r="D149" s="15"/>
      <c r="E149" s="16"/>
      <c r="F149" s="16"/>
      <c r="G149" s="15"/>
      <c r="H149" s="15"/>
    </row>
    <row r="150" customFormat="false" ht="15" hidden="false" customHeight="false" outlineLevel="0" collapsed="false">
      <c r="A150" s="14" t="str">
        <f aca="false">IF(B150="","","P"&amp;TEXT(ROW()-1,"000"))</f>
        <v/>
      </c>
      <c r="B150" s="15"/>
      <c r="C150" s="15"/>
      <c r="D150" s="15"/>
      <c r="E150" s="16"/>
      <c r="F150" s="16"/>
      <c r="G150" s="15"/>
      <c r="H150" s="15"/>
    </row>
    <row r="151" customFormat="false" ht="15" hidden="false" customHeight="false" outlineLevel="0" collapsed="false">
      <c r="A151" s="14" t="str">
        <f aca="false">IF(B151="","","P"&amp;TEXT(ROW()-1,"000"))</f>
        <v/>
      </c>
      <c r="B151" s="15"/>
      <c r="C151" s="15"/>
      <c r="D151" s="15"/>
      <c r="E151" s="16"/>
      <c r="F151" s="16"/>
      <c r="G151" s="15"/>
      <c r="H151" s="15"/>
    </row>
    <row r="152" customFormat="false" ht="15" hidden="false" customHeight="false" outlineLevel="0" collapsed="false">
      <c r="A152" s="14" t="str">
        <f aca="false">IF(B152="","","P"&amp;TEXT(ROW()-1,"000"))</f>
        <v/>
      </c>
      <c r="B152" s="15"/>
      <c r="C152" s="15"/>
      <c r="D152" s="15"/>
      <c r="E152" s="16"/>
      <c r="F152" s="16"/>
      <c r="G152" s="15"/>
      <c r="H152" s="15"/>
    </row>
    <row r="153" customFormat="false" ht="15" hidden="false" customHeight="false" outlineLevel="0" collapsed="false">
      <c r="A153" s="14" t="str">
        <f aca="false">IF(B153="","","P"&amp;TEXT(ROW()-1,"000"))</f>
        <v/>
      </c>
      <c r="B153" s="15"/>
      <c r="C153" s="15"/>
      <c r="D153" s="15"/>
      <c r="E153" s="16"/>
      <c r="F153" s="16"/>
      <c r="G153" s="15"/>
      <c r="H153" s="15"/>
    </row>
    <row r="154" customFormat="false" ht="15" hidden="false" customHeight="false" outlineLevel="0" collapsed="false">
      <c r="A154" s="14" t="str">
        <f aca="false">IF(B154="","","P"&amp;TEXT(ROW()-1,"000"))</f>
        <v/>
      </c>
      <c r="B154" s="15"/>
      <c r="C154" s="15"/>
      <c r="D154" s="15"/>
      <c r="E154" s="16"/>
      <c r="F154" s="16"/>
      <c r="G154" s="15"/>
      <c r="H154" s="15"/>
    </row>
    <row r="155" customFormat="false" ht="15" hidden="false" customHeight="false" outlineLevel="0" collapsed="false">
      <c r="A155" s="14" t="str">
        <f aca="false">IF(B155="","","P"&amp;TEXT(ROW()-1,"000"))</f>
        <v/>
      </c>
      <c r="B155" s="15"/>
      <c r="C155" s="15"/>
      <c r="D155" s="15"/>
      <c r="E155" s="16"/>
      <c r="F155" s="16"/>
      <c r="G155" s="15"/>
      <c r="H155" s="15"/>
    </row>
    <row r="156" customFormat="false" ht="15" hidden="false" customHeight="false" outlineLevel="0" collapsed="false">
      <c r="A156" s="14" t="str">
        <f aca="false">IF(B156="","","P"&amp;TEXT(ROW()-1,"000"))</f>
        <v/>
      </c>
      <c r="B156" s="15"/>
      <c r="C156" s="15"/>
      <c r="D156" s="15"/>
      <c r="E156" s="16"/>
      <c r="F156" s="16"/>
      <c r="G156" s="15"/>
      <c r="H156" s="15"/>
    </row>
    <row r="157" customFormat="false" ht="15" hidden="false" customHeight="false" outlineLevel="0" collapsed="false">
      <c r="A157" s="14" t="str">
        <f aca="false">IF(B157="","","P"&amp;TEXT(ROW()-1,"000"))</f>
        <v/>
      </c>
      <c r="B157" s="15"/>
      <c r="C157" s="15"/>
      <c r="D157" s="15"/>
      <c r="E157" s="16"/>
      <c r="F157" s="16"/>
      <c r="G157" s="15"/>
      <c r="H157" s="15"/>
    </row>
    <row r="158" customFormat="false" ht="15" hidden="false" customHeight="false" outlineLevel="0" collapsed="false">
      <c r="A158" s="14" t="str">
        <f aca="false">IF(B158="","","P"&amp;TEXT(ROW()-1,"000"))</f>
        <v/>
      </c>
      <c r="B158" s="15"/>
      <c r="C158" s="15"/>
      <c r="D158" s="15"/>
      <c r="E158" s="16"/>
      <c r="F158" s="16"/>
      <c r="G158" s="15"/>
      <c r="H158" s="15"/>
    </row>
    <row r="159" customFormat="false" ht="15" hidden="false" customHeight="false" outlineLevel="0" collapsed="false">
      <c r="A159" s="14" t="str">
        <f aca="false">IF(B159="","","P"&amp;TEXT(ROW()-1,"000"))</f>
        <v/>
      </c>
      <c r="B159" s="15"/>
      <c r="C159" s="15"/>
      <c r="D159" s="15"/>
      <c r="E159" s="16"/>
      <c r="F159" s="16"/>
      <c r="G159" s="15"/>
      <c r="H159" s="15"/>
    </row>
    <row r="160" customFormat="false" ht="15" hidden="false" customHeight="false" outlineLevel="0" collapsed="false">
      <c r="A160" s="14" t="str">
        <f aca="false">IF(B160="","","P"&amp;TEXT(ROW()-1,"000"))</f>
        <v/>
      </c>
      <c r="B160" s="15"/>
      <c r="C160" s="15"/>
      <c r="D160" s="15"/>
      <c r="E160" s="16"/>
      <c r="F160" s="16"/>
      <c r="G160" s="15"/>
      <c r="H160" s="15"/>
    </row>
    <row r="161" customFormat="false" ht="15" hidden="false" customHeight="false" outlineLevel="0" collapsed="false">
      <c r="A161" s="14" t="str">
        <f aca="false">IF(B161="","","P"&amp;TEXT(ROW()-1,"000"))</f>
        <v/>
      </c>
      <c r="B161" s="15"/>
      <c r="C161" s="15"/>
      <c r="D161" s="15"/>
      <c r="E161" s="16"/>
      <c r="F161" s="16"/>
      <c r="G161" s="15"/>
      <c r="H161" s="15"/>
    </row>
    <row r="162" customFormat="false" ht="15" hidden="false" customHeight="false" outlineLevel="0" collapsed="false">
      <c r="A162" s="14" t="str">
        <f aca="false">IF(B162="","","P"&amp;TEXT(ROW()-1,"000"))</f>
        <v/>
      </c>
      <c r="B162" s="15"/>
      <c r="C162" s="15"/>
      <c r="D162" s="15"/>
      <c r="E162" s="16"/>
      <c r="F162" s="16"/>
      <c r="G162" s="15"/>
      <c r="H162" s="15"/>
    </row>
    <row r="163" customFormat="false" ht="15" hidden="false" customHeight="false" outlineLevel="0" collapsed="false">
      <c r="A163" s="14" t="str">
        <f aca="false">IF(B163="","","P"&amp;TEXT(ROW()-1,"000"))</f>
        <v/>
      </c>
      <c r="B163" s="15"/>
      <c r="C163" s="15"/>
      <c r="D163" s="15"/>
      <c r="E163" s="16"/>
      <c r="F163" s="16"/>
      <c r="G163" s="15"/>
      <c r="H163" s="15"/>
    </row>
    <row r="164" customFormat="false" ht="15" hidden="false" customHeight="false" outlineLevel="0" collapsed="false">
      <c r="A164" s="14" t="str">
        <f aca="false">IF(B164="","","P"&amp;TEXT(ROW()-1,"000"))</f>
        <v/>
      </c>
      <c r="B164" s="15"/>
      <c r="C164" s="15"/>
      <c r="D164" s="15"/>
      <c r="E164" s="16"/>
      <c r="F164" s="16"/>
      <c r="G164" s="15"/>
      <c r="H164" s="15"/>
    </row>
    <row r="165" customFormat="false" ht="15" hidden="false" customHeight="false" outlineLevel="0" collapsed="false">
      <c r="A165" s="14" t="str">
        <f aca="false">IF(B165="","","P"&amp;TEXT(ROW()-1,"000"))</f>
        <v/>
      </c>
      <c r="B165" s="15"/>
      <c r="C165" s="15"/>
      <c r="D165" s="15"/>
      <c r="E165" s="16"/>
      <c r="F165" s="16"/>
      <c r="G165" s="15"/>
      <c r="H165" s="15"/>
    </row>
    <row r="166" customFormat="false" ht="15" hidden="false" customHeight="false" outlineLevel="0" collapsed="false">
      <c r="A166" s="14" t="str">
        <f aca="false">IF(B166="","","P"&amp;TEXT(ROW()-1,"000"))</f>
        <v/>
      </c>
      <c r="B166" s="15"/>
      <c r="C166" s="15"/>
      <c r="D166" s="15"/>
      <c r="E166" s="16"/>
      <c r="F166" s="16"/>
      <c r="G166" s="15"/>
      <c r="H166" s="15"/>
    </row>
    <row r="167" customFormat="false" ht="15" hidden="false" customHeight="false" outlineLevel="0" collapsed="false">
      <c r="A167" s="14" t="str">
        <f aca="false">IF(B167="","","P"&amp;TEXT(ROW()-1,"000"))</f>
        <v/>
      </c>
      <c r="B167" s="15"/>
      <c r="C167" s="15"/>
      <c r="D167" s="15"/>
      <c r="E167" s="16"/>
      <c r="F167" s="16"/>
      <c r="G167" s="15"/>
      <c r="H167" s="15"/>
    </row>
    <row r="168" customFormat="false" ht="15" hidden="false" customHeight="false" outlineLevel="0" collapsed="false">
      <c r="A168" s="14" t="str">
        <f aca="false">IF(B168="","","P"&amp;TEXT(ROW()-1,"000"))</f>
        <v/>
      </c>
      <c r="B168" s="15"/>
      <c r="C168" s="15"/>
      <c r="D168" s="15"/>
      <c r="E168" s="16"/>
      <c r="F168" s="16"/>
      <c r="G168" s="15"/>
      <c r="H168" s="15"/>
    </row>
    <row r="169" customFormat="false" ht="15" hidden="false" customHeight="false" outlineLevel="0" collapsed="false">
      <c r="A169" s="14" t="str">
        <f aca="false">IF(B169="","","P"&amp;TEXT(ROW()-1,"000"))</f>
        <v/>
      </c>
      <c r="B169" s="15"/>
      <c r="C169" s="15"/>
      <c r="D169" s="15"/>
      <c r="E169" s="16"/>
      <c r="F169" s="16"/>
      <c r="G169" s="15"/>
      <c r="H169" s="15"/>
    </row>
    <row r="170" customFormat="false" ht="15" hidden="false" customHeight="false" outlineLevel="0" collapsed="false">
      <c r="A170" s="14" t="str">
        <f aca="false">IF(B170="","","P"&amp;TEXT(ROW()-1,"000"))</f>
        <v/>
      </c>
      <c r="B170" s="15"/>
      <c r="C170" s="15"/>
      <c r="D170" s="15"/>
      <c r="E170" s="16"/>
      <c r="F170" s="16"/>
      <c r="G170" s="15"/>
      <c r="H170" s="15"/>
    </row>
    <row r="171" customFormat="false" ht="15" hidden="false" customHeight="false" outlineLevel="0" collapsed="false">
      <c r="A171" s="14" t="str">
        <f aca="false">IF(B171="","","P"&amp;TEXT(ROW()-1,"000"))</f>
        <v/>
      </c>
      <c r="B171" s="15"/>
      <c r="C171" s="15"/>
      <c r="D171" s="15"/>
      <c r="E171" s="16"/>
      <c r="F171" s="16"/>
      <c r="G171" s="15"/>
      <c r="H171" s="15"/>
    </row>
    <row r="172" customFormat="false" ht="15" hidden="false" customHeight="false" outlineLevel="0" collapsed="false">
      <c r="A172" s="14" t="str">
        <f aca="false">IF(B172="","","P"&amp;TEXT(ROW()-1,"000"))</f>
        <v/>
      </c>
      <c r="B172" s="15"/>
      <c r="C172" s="15"/>
      <c r="D172" s="15"/>
      <c r="E172" s="16"/>
      <c r="F172" s="16"/>
      <c r="G172" s="15"/>
      <c r="H172" s="15"/>
    </row>
    <row r="173" customFormat="false" ht="15" hidden="false" customHeight="false" outlineLevel="0" collapsed="false">
      <c r="A173" s="14" t="str">
        <f aca="false">IF(B173="","","P"&amp;TEXT(ROW()-1,"000"))</f>
        <v/>
      </c>
      <c r="B173" s="15"/>
      <c r="C173" s="15"/>
      <c r="D173" s="15"/>
      <c r="E173" s="16"/>
      <c r="F173" s="16"/>
      <c r="G173" s="15"/>
      <c r="H173" s="15"/>
    </row>
    <row r="174" customFormat="false" ht="15" hidden="false" customHeight="false" outlineLevel="0" collapsed="false">
      <c r="A174" s="14" t="str">
        <f aca="false">IF(B174="","","P"&amp;TEXT(ROW()-1,"000"))</f>
        <v/>
      </c>
      <c r="B174" s="15"/>
      <c r="C174" s="15"/>
      <c r="D174" s="15"/>
      <c r="E174" s="16"/>
      <c r="F174" s="16"/>
      <c r="G174" s="15"/>
      <c r="H174" s="15"/>
    </row>
    <row r="175" customFormat="false" ht="15" hidden="false" customHeight="false" outlineLevel="0" collapsed="false">
      <c r="A175" s="14" t="str">
        <f aca="false">IF(B175="","","P"&amp;TEXT(ROW()-1,"000"))</f>
        <v/>
      </c>
      <c r="B175" s="15"/>
      <c r="C175" s="15"/>
      <c r="D175" s="15"/>
      <c r="E175" s="16"/>
      <c r="F175" s="16"/>
      <c r="G175" s="15"/>
      <c r="H175" s="15"/>
    </row>
    <row r="176" customFormat="false" ht="15" hidden="false" customHeight="false" outlineLevel="0" collapsed="false">
      <c r="A176" s="14" t="str">
        <f aca="false">IF(B176="","","P"&amp;TEXT(ROW()-1,"000"))</f>
        <v/>
      </c>
      <c r="B176" s="15"/>
      <c r="C176" s="15"/>
      <c r="D176" s="15"/>
      <c r="E176" s="16"/>
      <c r="F176" s="16"/>
      <c r="G176" s="15"/>
      <c r="H176" s="15"/>
    </row>
    <row r="177" customFormat="false" ht="15" hidden="false" customHeight="false" outlineLevel="0" collapsed="false">
      <c r="A177" s="14" t="str">
        <f aca="false">IF(B177="","","P"&amp;TEXT(ROW()-1,"000"))</f>
        <v/>
      </c>
      <c r="B177" s="15"/>
      <c r="C177" s="15"/>
      <c r="D177" s="15"/>
      <c r="E177" s="16"/>
      <c r="F177" s="16"/>
      <c r="G177" s="15"/>
      <c r="H177" s="15"/>
    </row>
    <row r="178" customFormat="false" ht="15" hidden="false" customHeight="false" outlineLevel="0" collapsed="false">
      <c r="A178" s="14" t="str">
        <f aca="false">IF(B178="","","P"&amp;TEXT(ROW()-1,"000"))</f>
        <v/>
      </c>
      <c r="B178" s="15"/>
      <c r="C178" s="15"/>
      <c r="D178" s="15"/>
      <c r="E178" s="16"/>
      <c r="F178" s="16"/>
      <c r="G178" s="15"/>
      <c r="H178" s="15"/>
    </row>
    <row r="179" customFormat="false" ht="15" hidden="false" customHeight="false" outlineLevel="0" collapsed="false">
      <c r="A179" s="14" t="str">
        <f aca="false">IF(B179="","","P"&amp;TEXT(ROW()-1,"000"))</f>
        <v/>
      </c>
      <c r="B179" s="15"/>
      <c r="C179" s="15"/>
      <c r="D179" s="15"/>
      <c r="E179" s="16"/>
      <c r="F179" s="16"/>
      <c r="G179" s="15"/>
      <c r="H179" s="15"/>
    </row>
    <row r="180" customFormat="false" ht="15" hidden="false" customHeight="false" outlineLevel="0" collapsed="false">
      <c r="A180" s="14" t="str">
        <f aca="false">IF(B180="","","P"&amp;TEXT(ROW()-1,"000"))</f>
        <v/>
      </c>
      <c r="B180" s="15"/>
      <c r="C180" s="15"/>
      <c r="D180" s="15"/>
      <c r="E180" s="16"/>
      <c r="F180" s="16"/>
      <c r="G180" s="15"/>
      <c r="H180" s="15"/>
    </row>
    <row r="181" customFormat="false" ht="15" hidden="false" customHeight="false" outlineLevel="0" collapsed="false">
      <c r="A181" s="14" t="str">
        <f aca="false">IF(B181="","","P"&amp;TEXT(ROW()-1,"000"))</f>
        <v/>
      </c>
      <c r="B181" s="15"/>
      <c r="C181" s="15"/>
      <c r="D181" s="15"/>
      <c r="E181" s="16"/>
      <c r="F181" s="16"/>
      <c r="G181" s="15"/>
      <c r="H181" s="15"/>
    </row>
    <row r="182" customFormat="false" ht="15" hidden="false" customHeight="false" outlineLevel="0" collapsed="false">
      <c r="A182" s="14" t="str">
        <f aca="false">IF(B182="","","P"&amp;TEXT(ROW()-1,"000"))</f>
        <v/>
      </c>
      <c r="B182" s="15"/>
      <c r="C182" s="15"/>
      <c r="D182" s="15"/>
      <c r="E182" s="16"/>
      <c r="F182" s="16"/>
      <c r="G182" s="15"/>
      <c r="H182" s="15"/>
    </row>
    <row r="183" customFormat="false" ht="15" hidden="false" customHeight="false" outlineLevel="0" collapsed="false">
      <c r="A183" s="14" t="str">
        <f aca="false">IF(B183="","","P"&amp;TEXT(ROW()-1,"000"))</f>
        <v/>
      </c>
      <c r="B183" s="15"/>
      <c r="C183" s="15"/>
      <c r="D183" s="15"/>
      <c r="E183" s="16"/>
      <c r="F183" s="16"/>
      <c r="G183" s="15"/>
      <c r="H183" s="15"/>
    </row>
    <row r="184" customFormat="false" ht="15" hidden="false" customHeight="false" outlineLevel="0" collapsed="false">
      <c r="A184" s="14" t="str">
        <f aca="false">IF(B184="","","P"&amp;TEXT(ROW()-1,"000"))</f>
        <v/>
      </c>
      <c r="B184" s="15"/>
      <c r="C184" s="15"/>
      <c r="D184" s="15"/>
      <c r="E184" s="16"/>
      <c r="F184" s="16"/>
      <c r="G184" s="15"/>
      <c r="H184" s="15"/>
    </row>
    <row r="185" customFormat="false" ht="15" hidden="false" customHeight="false" outlineLevel="0" collapsed="false">
      <c r="A185" s="14" t="str">
        <f aca="false">IF(B185="","","P"&amp;TEXT(ROW()-1,"000"))</f>
        <v/>
      </c>
      <c r="B185" s="15"/>
      <c r="C185" s="15"/>
      <c r="D185" s="15"/>
      <c r="E185" s="16"/>
      <c r="F185" s="16"/>
      <c r="G185" s="15"/>
      <c r="H185" s="15"/>
    </row>
    <row r="186" customFormat="false" ht="15" hidden="false" customHeight="false" outlineLevel="0" collapsed="false">
      <c r="A186" s="14" t="str">
        <f aca="false">IF(B186="","","P"&amp;TEXT(ROW()-1,"000"))</f>
        <v/>
      </c>
      <c r="B186" s="15"/>
      <c r="C186" s="15"/>
      <c r="D186" s="15"/>
      <c r="E186" s="16"/>
      <c r="F186" s="16"/>
      <c r="G186" s="15"/>
      <c r="H186" s="15"/>
    </row>
    <row r="187" customFormat="false" ht="15" hidden="false" customHeight="false" outlineLevel="0" collapsed="false">
      <c r="A187" s="14" t="str">
        <f aca="false">IF(B187="","","P"&amp;TEXT(ROW()-1,"000"))</f>
        <v/>
      </c>
      <c r="B187" s="15"/>
      <c r="C187" s="15"/>
      <c r="D187" s="15"/>
      <c r="E187" s="16"/>
      <c r="F187" s="16"/>
      <c r="G187" s="15"/>
      <c r="H187" s="15"/>
    </row>
    <row r="188" customFormat="false" ht="15" hidden="false" customHeight="false" outlineLevel="0" collapsed="false">
      <c r="A188" s="14" t="str">
        <f aca="false">IF(B188="","","P"&amp;TEXT(ROW()-1,"000"))</f>
        <v/>
      </c>
      <c r="B188" s="15"/>
      <c r="C188" s="15"/>
      <c r="D188" s="15"/>
      <c r="E188" s="16"/>
      <c r="F188" s="16"/>
      <c r="G188" s="15"/>
      <c r="H188" s="15"/>
    </row>
    <row r="189" customFormat="false" ht="15" hidden="false" customHeight="false" outlineLevel="0" collapsed="false">
      <c r="A189" s="14" t="str">
        <f aca="false">IF(B189="","","P"&amp;TEXT(ROW()-1,"000"))</f>
        <v/>
      </c>
      <c r="B189" s="15"/>
      <c r="C189" s="15"/>
      <c r="D189" s="15"/>
      <c r="E189" s="16"/>
      <c r="F189" s="16"/>
      <c r="G189" s="15"/>
      <c r="H189" s="15"/>
    </row>
    <row r="190" customFormat="false" ht="15" hidden="false" customHeight="false" outlineLevel="0" collapsed="false">
      <c r="A190" s="14" t="str">
        <f aca="false">IF(B190="","","P"&amp;TEXT(ROW()-1,"000"))</f>
        <v/>
      </c>
      <c r="B190" s="15"/>
      <c r="C190" s="15"/>
      <c r="D190" s="15"/>
      <c r="E190" s="16"/>
      <c r="F190" s="16"/>
      <c r="G190" s="15"/>
      <c r="H190" s="15"/>
    </row>
    <row r="191" customFormat="false" ht="15" hidden="false" customHeight="false" outlineLevel="0" collapsed="false">
      <c r="A191" s="14" t="str">
        <f aca="false">IF(B191="","","P"&amp;TEXT(ROW()-1,"000"))</f>
        <v/>
      </c>
      <c r="B191" s="15"/>
      <c r="C191" s="15"/>
      <c r="D191" s="15"/>
      <c r="E191" s="16"/>
      <c r="F191" s="16"/>
      <c r="G191" s="15"/>
      <c r="H191" s="15"/>
    </row>
    <row r="192" customFormat="false" ht="15" hidden="false" customHeight="false" outlineLevel="0" collapsed="false">
      <c r="A192" s="14" t="str">
        <f aca="false">IF(B192="","","P"&amp;TEXT(ROW()-1,"000"))</f>
        <v/>
      </c>
      <c r="B192" s="15"/>
      <c r="C192" s="15"/>
      <c r="D192" s="15"/>
      <c r="E192" s="16"/>
      <c r="F192" s="16"/>
      <c r="G192" s="15"/>
      <c r="H192" s="15"/>
    </row>
    <row r="193" customFormat="false" ht="15" hidden="false" customHeight="false" outlineLevel="0" collapsed="false">
      <c r="A193" s="14" t="str">
        <f aca="false">IF(B193="","","P"&amp;TEXT(ROW()-1,"000"))</f>
        <v/>
      </c>
      <c r="B193" s="15"/>
      <c r="C193" s="15"/>
      <c r="D193" s="15"/>
      <c r="E193" s="16"/>
      <c r="F193" s="16"/>
      <c r="G193" s="15"/>
      <c r="H193" s="15"/>
    </row>
    <row r="194" customFormat="false" ht="15" hidden="false" customHeight="false" outlineLevel="0" collapsed="false">
      <c r="A194" s="14" t="str">
        <f aca="false">IF(B194="","","P"&amp;TEXT(ROW()-1,"000"))</f>
        <v/>
      </c>
      <c r="B194" s="15"/>
      <c r="C194" s="15"/>
      <c r="D194" s="15"/>
      <c r="E194" s="16"/>
      <c r="F194" s="16"/>
      <c r="G194" s="15"/>
      <c r="H194" s="15"/>
    </row>
    <row r="195" customFormat="false" ht="15" hidden="false" customHeight="false" outlineLevel="0" collapsed="false">
      <c r="A195" s="14" t="str">
        <f aca="false">IF(B195="","","P"&amp;TEXT(ROW()-1,"000"))</f>
        <v/>
      </c>
      <c r="B195" s="15"/>
      <c r="C195" s="15"/>
      <c r="D195" s="15"/>
      <c r="E195" s="16"/>
      <c r="F195" s="16"/>
      <c r="G195" s="15"/>
      <c r="H195" s="15"/>
    </row>
    <row r="196" customFormat="false" ht="15" hidden="false" customHeight="false" outlineLevel="0" collapsed="false">
      <c r="A196" s="14" t="str">
        <f aca="false">IF(B196="","","P"&amp;TEXT(ROW()-1,"000"))</f>
        <v/>
      </c>
      <c r="B196" s="15"/>
      <c r="C196" s="15"/>
      <c r="D196" s="15"/>
      <c r="E196" s="16"/>
      <c r="F196" s="16"/>
      <c r="G196" s="15"/>
      <c r="H196" s="15"/>
    </row>
    <row r="197" customFormat="false" ht="15" hidden="false" customHeight="false" outlineLevel="0" collapsed="false">
      <c r="A197" s="14" t="str">
        <f aca="false">IF(B197="","","P"&amp;TEXT(ROW()-1,"000"))</f>
        <v/>
      </c>
      <c r="B197" s="15"/>
      <c r="C197" s="15"/>
      <c r="D197" s="15"/>
      <c r="E197" s="16"/>
      <c r="F197" s="16"/>
      <c r="G197" s="15"/>
      <c r="H197" s="15"/>
    </row>
    <row r="198" customFormat="false" ht="15" hidden="false" customHeight="false" outlineLevel="0" collapsed="false">
      <c r="A198" s="14" t="str">
        <f aca="false">IF(B198="","","P"&amp;TEXT(ROW()-1,"000"))</f>
        <v/>
      </c>
      <c r="B198" s="15"/>
      <c r="C198" s="15"/>
      <c r="D198" s="15"/>
      <c r="E198" s="16"/>
      <c r="F198" s="16"/>
      <c r="G198" s="15"/>
      <c r="H198" s="15"/>
    </row>
    <row r="199" customFormat="false" ht="15" hidden="false" customHeight="false" outlineLevel="0" collapsed="false">
      <c r="A199" s="14" t="str">
        <f aca="false">IF(B199="","","P"&amp;TEXT(ROW()-1,"000"))</f>
        <v/>
      </c>
      <c r="B199" s="15"/>
      <c r="C199" s="15"/>
      <c r="D199" s="15"/>
      <c r="E199" s="16"/>
      <c r="F199" s="16"/>
      <c r="G199" s="15"/>
      <c r="H199" s="15"/>
    </row>
    <row r="200" customFormat="false" ht="15" hidden="false" customHeight="false" outlineLevel="0" collapsed="false">
      <c r="A200" s="14" t="str">
        <f aca="false">IF(B200="","","P"&amp;TEXT(ROW()-1,"000"))</f>
        <v/>
      </c>
      <c r="B200" s="15"/>
      <c r="C200" s="15"/>
      <c r="D200" s="15"/>
      <c r="E200" s="16"/>
      <c r="F200" s="16"/>
      <c r="G200" s="15"/>
      <c r="H200" s="15"/>
    </row>
  </sheetData>
  <dataValidations count="1">
    <dataValidation allowBlank="true" errorStyle="stop" operator="between" showDropDown="false" showErrorMessage="false" showInputMessage="false" sqref="C2:C200" type="list">
      <formula1>카테고리!$D$2:$D$4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22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26"/>
  </cols>
  <sheetData>
    <row r="1" customFormat="false" ht="15" hidden="false" customHeight="false" outlineLevel="0" collapsed="false">
      <c r="A1" s="9" t="s">
        <v>40</v>
      </c>
      <c r="B1" s="9" t="s">
        <v>41</v>
      </c>
      <c r="C1" s="9" t="s">
        <v>42</v>
      </c>
      <c r="D1" s="9" t="s">
        <v>28</v>
      </c>
      <c r="E1" s="9" t="s">
        <v>43</v>
      </c>
      <c r="F1" s="9" t="s">
        <v>44</v>
      </c>
      <c r="G1" s="9" t="s">
        <v>45</v>
      </c>
      <c r="H1" s="9" t="s">
        <v>46</v>
      </c>
      <c r="I1" s="9" t="s">
        <v>47</v>
      </c>
      <c r="J1" s="9" t="s">
        <v>34</v>
      </c>
    </row>
    <row r="2" customFormat="false" ht="15" hidden="false" customHeight="false" outlineLevel="0" collapsed="false">
      <c r="A2" s="10" t="n">
        <f aca="false">IF(B2="","",ROW()-1)</f>
        <v>1</v>
      </c>
      <c r="B2" s="13" t="n">
        <v>46063</v>
      </c>
      <c r="C2" s="10" t="n">
        <f aca="false">IF(B2="","",YEAR(B2))</f>
        <v>2026</v>
      </c>
      <c r="D2" s="11" t="s">
        <v>35</v>
      </c>
      <c r="E2" s="12" t="s">
        <v>48</v>
      </c>
      <c r="F2" s="10" t="str">
        <f aca="false">IF(E2="","",IFERROR(INDEX(카테고리!$B$2:$B$8,MATCH(E2,카테고리!$A$2:$A$8,0)),""))</f>
        <v>수익</v>
      </c>
      <c r="G2" s="11" t="s">
        <v>49</v>
      </c>
      <c r="H2" s="17" t="n">
        <v>1250000</v>
      </c>
      <c r="I2" s="11" t="s">
        <v>50</v>
      </c>
      <c r="J2" s="12" t="s">
        <v>39</v>
      </c>
    </row>
    <row r="3" customFormat="false" ht="15" hidden="false" customHeight="false" outlineLevel="0" collapsed="false">
      <c r="A3" s="10" t="n">
        <f aca="false">IF(B3="","",ROW()-1)</f>
        <v>2</v>
      </c>
      <c r="B3" s="13" t="n">
        <v>46065</v>
      </c>
      <c r="C3" s="10" t="n">
        <f aca="false">IF(B3="","",YEAR(B3))</f>
        <v>2026</v>
      </c>
      <c r="D3" s="11" t="s">
        <v>35</v>
      </c>
      <c r="E3" s="12" t="s">
        <v>51</v>
      </c>
      <c r="F3" s="10" t="str">
        <f aca="false">IF(E3="","",IFERROR(INDEX(카테고리!$B$2:$B$8,MATCH(E3,카테고리!$A$2:$A$8,0)),""))</f>
        <v>비용</v>
      </c>
      <c r="G3" s="12" t="s">
        <v>52</v>
      </c>
      <c r="H3" s="17" t="n">
        <v>180000</v>
      </c>
      <c r="I3" s="11" t="s">
        <v>50</v>
      </c>
      <c r="J3" s="12" t="s">
        <v>39</v>
      </c>
    </row>
    <row r="4" customFormat="false" ht="15" hidden="false" customHeight="false" outlineLevel="0" collapsed="false">
      <c r="A4" s="14" t="str">
        <f aca="false">IF(B4="","",ROW()-1)</f>
        <v/>
      </c>
      <c r="B4" s="16"/>
      <c r="C4" s="14" t="str">
        <f aca="false">IF(B4="","",YEAR(B4))</f>
        <v/>
      </c>
      <c r="D4" s="15"/>
      <c r="E4" s="15"/>
      <c r="F4" s="14" t="str">
        <f aca="false">IF(E4="","",IFERROR(INDEX(카테고리!$B$2:$B$8,MATCH(E4,카테고리!$A$2:$A$8,0)),""))</f>
        <v/>
      </c>
      <c r="G4" s="15"/>
      <c r="H4" s="18"/>
      <c r="I4" s="15"/>
      <c r="J4" s="15"/>
    </row>
    <row r="5" customFormat="false" ht="15" hidden="false" customHeight="false" outlineLevel="0" collapsed="false">
      <c r="A5" s="14" t="str">
        <f aca="false">IF(B5="","",ROW()-1)</f>
        <v/>
      </c>
      <c r="B5" s="16"/>
      <c r="C5" s="14" t="str">
        <f aca="false">IF(B5="","",YEAR(B5))</f>
        <v/>
      </c>
      <c r="D5" s="15"/>
      <c r="E5" s="15"/>
      <c r="F5" s="14" t="str">
        <f aca="false">IF(E5="","",IFERROR(INDEX(카테고리!$B$2:$B$8,MATCH(E5,카테고리!$A$2:$A$8,0)),""))</f>
        <v/>
      </c>
      <c r="G5" s="15"/>
      <c r="H5" s="18"/>
      <c r="I5" s="15"/>
      <c r="J5" s="15"/>
    </row>
    <row r="6" customFormat="false" ht="15" hidden="false" customHeight="false" outlineLevel="0" collapsed="false">
      <c r="A6" s="14" t="str">
        <f aca="false">IF(B6="","",ROW()-1)</f>
        <v/>
      </c>
      <c r="B6" s="16"/>
      <c r="C6" s="14" t="str">
        <f aca="false">IF(B6="","",YEAR(B6))</f>
        <v/>
      </c>
      <c r="D6" s="15"/>
      <c r="E6" s="15"/>
      <c r="F6" s="14" t="str">
        <f aca="false">IF(E6="","",IFERROR(INDEX(카테고리!$B$2:$B$8,MATCH(E6,카테고리!$A$2:$A$8,0)),""))</f>
        <v/>
      </c>
      <c r="G6" s="15"/>
      <c r="H6" s="18"/>
      <c r="I6" s="15"/>
      <c r="J6" s="15"/>
    </row>
    <row r="7" customFormat="false" ht="15" hidden="false" customHeight="false" outlineLevel="0" collapsed="false">
      <c r="A7" s="14" t="str">
        <f aca="false">IF(B7="","",ROW()-1)</f>
        <v/>
      </c>
      <c r="B7" s="16"/>
      <c r="C7" s="14" t="str">
        <f aca="false">IF(B7="","",YEAR(B7))</f>
        <v/>
      </c>
      <c r="D7" s="15"/>
      <c r="E7" s="15"/>
      <c r="F7" s="14" t="str">
        <f aca="false">IF(E7="","",IFERROR(INDEX(카테고리!$B$2:$B$8,MATCH(E7,카테고리!$A$2:$A$8,0)),""))</f>
        <v/>
      </c>
      <c r="G7" s="15"/>
      <c r="H7" s="18"/>
      <c r="I7" s="15"/>
      <c r="J7" s="15"/>
    </row>
    <row r="8" customFormat="false" ht="15" hidden="false" customHeight="false" outlineLevel="0" collapsed="false">
      <c r="A8" s="14" t="str">
        <f aca="false">IF(B8="","",ROW()-1)</f>
        <v/>
      </c>
      <c r="B8" s="16"/>
      <c r="C8" s="14" t="str">
        <f aca="false">IF(B8="","",YEAR(B8))</f>
        <v/>
      </c>
      <c r="D8" s="15"/>
      <c r="E8" s="15"/>
      <c r="F8" s="14" t="str">
        <f aca="false">IF(E8="","",IFERROR(INDEX(카테고리!$B$2:$B$8,MATCH(E8,카테고리!$A$2:$A$8,0)),""))</f>
        <v/>
      </c>
      <c r="G8" s="15"/>
      <c r="H8" s="18"/>
      <c r="I8" s="15"/>
      <c r="J8" s="15"/>
    </row>
    <row r="9" customFormat="false" ht="15" hidden="false" customHeight="false" outlineLevel="0" collapsed="false">
      <c r="A9" s="14" t="str">
        <f aca="false">IF(B9="","",ROW()-1)</f>
        <v/>
      </c>
      <c r="B9" s="16"/>
      <c r="C9" s="14" t="str">
        <f aca="false">IF(B9="","",YEAR(B9))</f>
        <v/>
      </c>
      <c r="D9" s="15"/>
      <c r="E9" s="15"/>
      <c r="F9" s="14" t="str">
        <f aca="false">IF(E9="","",IFERROR(INDEX(카테고리!$B$2:$B$8,MATCH(E9,카테고리!$A$2:$A$8,0)),""))</f>
        <v/>
      </c>
      <c r="G9" s="15"/>
      <c r="H9" s="18"/>
      <c r="I9" s="15"/>
      <c r="J9" s="15"/>
    </row>
    <row r="10" customFormat="false" ht="15" hidden="false" customHeight="false" outlineLevel="0" collapsed="false">
      <c r="A10" s="14" t="str">
        <f aca="false">IF(B10="","",ROW()-1)</f>
        <v/>
      </c>
      <c r="B10" s="16"/>
      <c r="C10" s="14" t="str">
        <f aca="false">IF(B10="","",YEAR(B10))</f>
        <v/>
      </c>
      <c r="D10" s="15"/>
      <c r="E10" s="15"/>
      <c r="F10" s="14" t="str">
        <f aca="false">IF(E10="","",IFERROR(INDEX(카테고리!$B$2:$B$8,MATCH(E10,카테고리!$A$2:$A$8,0)),""))</f>
        <v/>
      </c>
      <c r="G10" s="15"/>
      <c r="H10" s="18"/>
      <c r="I10" s="15"/>
      <c r="J10" s="15"/>
    </row>
    <row r="11" customFormat="false" ht="15" hidden="false" customHeight="false" outlineLevel="0" collapsed="false">
      <c r="A11" s="14" t="str">
        <f aca="false">IF(B11="","",ROW()-1)</f>
        <v/>
      </c>
      <c r="B11" s="16"/>
      <c r="C11" s="14" t="str">
        <f aca="false">IF(B11="","",YEAR(B11))</f>
        <v/>
      </c>
      <c r="D11" s="15"/>
      <c r="E11" s="15"/>
      <c r="F11" s="14" t="str">
        <f aca="false">IF(E11="","",IFERROR(INDEX(카테고리!$B$2:$B$8,MATCH(E11,카테고리!$A$2:$A$8,0)),""))</f>
        <v/>
      </c>
      <c r="G11" s="15"/>
      <c r="H11" s="18"/>
      <c r="I11" s="15"/>
      <c r="J11" s="15"/>
    </row>
    <row r="12" customFormat="false" ht="15" hidden="false" customHeight="false" outlineLevel="0" collapsed="false">
      <c r="A12" s="14" t="str">
        <f aca="false">IF(B12="","",ROW()-1)</f>
        <v/>
      </c>
      <c r="B12" s="16"/>
      <c r="C12" s="14" t="str">
        <f aca="false">IF(B12="","",YEAR(B12))</f>
        <v/>
      </c>
      <c r="D12" s="15"/>
      <c r="E12" s="15"/>
      <c r="F12" s="14" t="str">
        <f aca="false">IF(E12="","",IFERROR(INDEX(카테고리!$B$2:$B$8,MATCH(E12,카테고리!$A$2:$A$8,0)),""))</f>
        <v/>
      </c>
      <c r="G12" s="15"/>
      <c r="H12" s="18"/>
      <c r="I12" s="15"/>
      <c r="J12" s="15"/>
    </row>
    <row r="13" customFormat="false" ht="15" hidden="false" customHeight="false" outlineLevel="0" collapsed="false">
      <c r="A13" s="14" t="str">
        <f aca="false">IF(B13="","",ROW()-1)</f>
        <v/>
      </c>
      <c r="B13" s="16"/>
      <c r="C13" s="14" t="str">
        <f aca="false">IF(B13="","",YEAR(B13))</f>
        <v/>
      </c>
      <c r="D13" s="15"/>
      <c r="E13" s="15"/>
      <c r="F13" s="14" t="str">
        <f aca="false">IF(E13="","",IFERROR(INDEX(카테고리!$B$2:$B$8,MATCH(E13,카테고리!$A$2:$A$8,0)),""))</f>
        <v/>
      </c>
      <c r="G13" s="15"/>
      <c r="H13" s="18"/>
      <c r="I13" s="15"/>
      <c r="J13" s="15"/>
    </row>
    <row r="14" customFormat="false" ht="15" hidden="false" customHeight="false" outlineLevel="0" collapsed="false">
      <c r="A14" s="14" t="str">
        <f aca="false">IF(B14="","",ROW()-1)</f>
        <v/>
      </c>
      <c r="B14" s="16"/>
      <c r="C14" s="14" t="str">
        <f aca="false">IF(B14="","",YEAR(B14))</f>
        <v/>
      </c>
      <c r="D14" s="15"/>
      <c r="E14" s="15"/>
      <c r="F14" s="14" t="str">
        <f aca="false">IF(E14="","",IFERROR(INDEX(카테고리!$B$2:$B$8,MATCH(E14,카테고리!$A$2:$A$8,0)),""))</f>
        <v/>
      </c>
      <c r="G14" s="15"/>
      <c r="H14" s="18"/>
      <c r="I14" s="15"/>
      <c r="J14" s="15"/>
    </row>
    <row r="15" customFormat="false" ht="15" hidden="false" customHeight="false" outlineLevel="0" collapsed="false">
      <c r="A15" s="14" t="str">
        <f aca="false">IF(B15="","",ROW()-1)</f>
        <v/>
      </c>
      <c r="B15" s="16"/>
      <c r="C15" s="14" t="str">
        <f aca="false">IF(B15="","",YEAR(B15))</f>
        <v/>
      </c>
      <c r="D15" s="15"/>
      <c r="E15" s="15"/>
      <c r="F15" s="14" t="str">
        <f aca="false">IF(E15="","",IFERROR(INDEX(카테고리!$B$2:$B$8,MATCH(E15,카테고리!$A$2:$A$8,0)),""))</f>
        <v/>
      </c>
      <c r="G15" s="15"/>
      <c r="H15" s="18"/>
      <c r="I15" s="15"/>
      <c r="J15" s="15"/>
    </row>
    <row r="16" customFormat="false" ht="15" hidden="false" customHeight="false" outlineLevel="0" collapsed="false">
      <c r="A16" s="14" t="str">
        <f aca="false">IF(B16="","",ROW()-1)</f>
        <v/>
      </c>
      <c r="B16" s="16"/>
      <c r="C16" s="14" t="str">
        <f aca="false">IF(B16="","",YEAR(B16))</f>
        <v/>
      </c>
      <c r="D16" s="15"/>
      <c r="E16" s="15"/>
      <c r="F16" s="14" t="str">
        <f aca="false">IF(E16="","",IFERROR(INDEX(카테고리!$B$2:$B$8,MATCH(E16,카테고리!$A$2:$A$8,0)),""))</f>
        <v/>
      </c>
      <c r="G16" s="15"/>
      <c r="H16" s="18"/>
      <c r="I16" s="15"/>
      <c r="J16" s="15"/>
    </row>
    <row r="17" customFormat="false" ht="15" hidden="false" customHeight="false" outlineLevel="0" collapsed="false">
      <c r="A17" s="14" t="str">
        <f aca="false">IF(B17="","",ROW()-1)</f>
        <v/>
      </c>
      <c r="B17" s="16"/>
      <c r="C17" s="14" t="str">
        <f aca="false">IF(B17="","",YEAR(B17))</f>
        <v/>
      </c>
      <c r="D17" s="15"/>
      <c r="E17" s="15"/>
      <c r="F17" s="14" t="str">
        <f aca="false">IF(E17="","",IFERROR(INDEX(카테고리!$B$2:$B$8,MATCH(E17,카테고리!$A$2:$A$8,0)),""))</f>
        <v/>
      </c>
      <c r="G17" s="15"/>
      <c r="H17" s="18"/>
      <c r="I17" s="15"/>
      <c r="J17" s="15"/>
    </row>
    <row r="18" customFormat="false" ht="15" hidden="false" customHeight="false" outlineLevel="0" collapsed="false">
      <c r="A18" s="14" t="str">
        <f aca="false">IF(B18="","",ROW()-1)</f>
        <v/>
      </c>
      <c r="B18" s="16"/>
      <c r="C18" s="14" t="str">
        <f aca="false">IF(B18="","",YEAR(B18))</f>
        <v/>
      </c>
      <c r="D18" s="15"/>
      <c r="E18" s="15"/>
      <c r="F18" s="14" t="str">
        <f aca="false">IF(E18="","",IFERROR(INDEX(카테고리!$B$2:$B$8,MATCH(E18,카테고리!$A$2:$A$8,0)),""))</f>
        <v/>
      </c>
      <c r="G18" s="15"/>
      <c r="H18" s="18"/>
      <c r="I18" s="15"/>
      <c r="J18" s="15"/>
    </row>
    <row r="19" customFormat="false" ht="15" hidden="false" customHeight="false" outlineLevel="0" collapsed="false">
      <c r="A19" s="14" t="str">
        <f aca="false">IF(B19="","",ROW()-1)</f>
        <v/>
      </c>
      <c r="B19" s="16"/>
      <c r="C19" s="14" t="str">
        <f aca="false">IF(B19="","",YEAR(B19))</f>
        <v/>
      </c>
      <c r="D19" s="15"/>
      <c r="E19" s="15"/>
      <c r="F19" s="14" t="str">
        <f aca="false">IF(E19="","",IFERROR(INDEX(카테고리!$B$2:$B$8,MATCH(E19,카테고리!$A$2:$A$8,0)),""))</f>
        <v/>
      </c>
      <c r="G19" s="15"/>
      <c r="H19" s="18"/>
      <c r="I19" s="15"/>
      <c r="J19" s="15"/>
    </row>
    <row r="20" customFormat="false" ht="15" hidden="false" customHeight="false" outlineLevel="0" collapsed="false">
      <c r="A20" s="14" t="str">
        <f aca="false">IF(B20="","",ROW()-1)</f>
        <v/>
      </c>
      <c r="B20" s="16"/>
      <c r="C20" s="14" t="str">
        <f aca="false">IF(B20="","",YEAR(B20))</f>
        <v/>
      </c>
      <c r="D20" s="15"/>
      <c r="E20" s="15"/>
      <c r="F20" s="14" t="str">
        <f aca="false">IF(E20="","",IFERROR(INDEX(카테고리!$B$2:$B$8,MATCH(E20,카테고리!$A$2:$A$8,0)),""))</f>
        <v/>
      </c>
      <c r="G20" s="15"/>
      <c r="H20" s="18"/>
      <c r="I20" s="15"/>
      <c r="J20" s="15"/>
    </row>
    <row r="21" customFormat="false" ht="15" hidden="false" customHeight="false" outlineLevel="0" collapsed="false">
      <c r="A21" s="14" t="str">
        <f aca="false">IF(B21="","",ROW()-1)</f>
        <v/>
      </c>
      <c r="B21" s="16"/>
      <c r="C21" s="14" t="str">
        <f aca="false">IF(B21="","",YEAR(B21))</f>
        <v/>
      </c>
      <c r="D21" s="15"/>
      <c r="E21" s="15"/>
      <c r="F21" s="14" t="str">
        <f aca="false">IF(E21="","",IFERROR(INDEX(카테고리!$B$2:$B$8,MATCH(E21,카테고리!$A$2:$A$8,0)),""))</f>
        <v/>
      </c>
      <c r="G21" s="15"/>
      <c r="H21" s="18"/>
      <c r="I21" s="15"/>
      <c r="J21" s="15"/>
    </row>
    <row r="22" customFormat="false" ht="15" hidden="false" customHeight="false" outlineLevel="0" collapsed="false">
      <c r="A22" s="14" t="str">
        <f aca="false">IF(B22="","",ROW()-1)</f>
        <v/>
      </c>
      <c r="B22" s="16"/>
      <c r="C22" s="14" t="str">
        <f aca="false">IF(B22="","",YEAR(B22))</f>
        <v/>
      </c>
      <c r="D22" s="15"/>
      <c r="E22" s="15"/>
      <c r="F22" s="14" t="str">
        <f aca="false">IF(E22="","",IFERROR(INDEX(카테고리!$B$2:$B$8,MATCH(E22,카테고리!$A$2:$A$8,0)),""))</f>
        <v/>
      </c>
      <c r="G22" s="15"/>
      <c r="H22" s="18"/>
      <c r="I22" s="15"/>
      <c r="J22" s="15"/>
    </row>
    <row r="23" customFormat="false" ht="15" hidden="false" customHeight="false" outlineLevel="0" collapsed="false">
      <c r="A23" s="14" t="str">
        <f aca="false">IF(B23="","",ROW()-1)</f>
        <v/>
      </c>
      <c r="B23" s="16"/>
      <c r="C23" s="14" t="str">
        <f aca="false">IF(B23="","",YEAR(B23))</f>
        <v/>
      </c>
      <c r="D23" s="15"/>
      <c r="E23" s="15"/>
      <c r="F23" s="14" t="str">
        <f aca="false">IF(E23="","",IFERROR(INDEX(카테고리!$B$2:$B$8,MATCH(E23,카테고리!$A$2:$A$8,0)),""))</f>
        <v/>
      </c>
      <c r="G23" s="15"/>
      <c r="H23" s="18"/>
      <c r="I23" s="15"/>
      <c r="J23" s="15"/>
    </row>
    <row r="24" customFormat="false" ht="15" hidden="false" customHeight="false" outlineLevel="0" collapsed="false">
      <c r="A24" s="14" t="str">
        <f aca="false">IF(B24="","",ROW()-1)</f>
        <v/>
      </c>
      <c r="B24" s="16"/>
      <c r="C24" s="14" t="str">
        <f aca="false">IF(B24="","",YEAR(B24))</f>
        <v/>
      </c>
      <c r="D24" s="15"/>
      <c r="E24" s="15"/>
      <c r="F24" s="14" t="str">
        <f aca="false">IF(E24="","",IFERROR(INDEX(카테고리!$B$2:$B$8,MATCH(E24,카테고리!$A$2:$A$8,0)),""))</f>
        <v/>
      </c>
      <c r="G24" s="15"/>
      <c r="H24" s="18"/>
      <c r="I24" s="15"/>
      <c r="J24" s="15"/>
    </row>
    <row r="25" customFormat="false" ht="15" hidden="false" customHeight="false" outlineLevel="0" collapsed="false">
      <c r="A25" s="14" t="str">
        <f aca="false">IF(B25="","",ROW()-1)</f>
        <v/>
      </c>
      <c r="B25" s="16"/>
      <c r="C25" s="14" t="str">
        <f aca="false">IF(B25="","",YEAR(B25))</f>
        <v/>
      </c>
      <c r="D25" s="15"/>
      <c r="E25" s="15"/>
      <c r="F25" s="14" t="str">
        <f aca="false">IF(E25="","",IFERROR(INDEX(카테고리!$B$2:$B$8,MATCH(E25,카테고리!$A$2:$A$8,0)),""))</f>
        <v/>
      </c>
      <c r="G25" s="15"/>
      <c r="H25" s="18"/>
      <c r="I25" s="15"/>
      <c r="J25" s="15"/>
    </row>
    <row r="26" customFormat="false" ht="15" hidden="false" customHeight="false" outlineLevel="0" collapsed="false">
      <c r="A26" s="14" t="str">
        <f aca="false">IF(B26="","",ROW()-1)</f>
        <v/>
      </c>
      <c r="B26" s="16"/>
      <c r="C26" s="14" t="str">
        <f aca="false">IF(B26="","",YEAR(B26))</f>
        <v/>
      </c>
      <c r="D26" s="15"/>
      <c r="E26" s="15"/>
      <c r="F26" s="14" t="str">
        <f aca="false">IF(E26="","",IFERROR(INDEX(카테고리!$B$2:$B$8,MATCH(E26,카테고리!$A$2:$A$8,0)),""))</f>
        <v/>
      </c>
      <c r="G26" s="15"/>
      <c r="H26" s="18"/>
      <c r="I26" s="15"/>
      <c r="J26" s="15"/>
    </row>
    <row r="27" customFormat="false" ht="15" hidden="false" customHeight="false" outlineLevel="0" collapsed="false">
      <c r="A27" s="14" t="str">
        <f aca="false">IF(B27="","",ROW()-1)</f>
        <v/>
      </c>
      <c r="B27" s="16"/>
      <c r="C27" s="14" t="str">
        <f aca="false">IF(B27="","",YEAR(B27))</f>
        <v/>
      </c>
      <c r="D27" s="15"/>
      <c r="E27" s="15"/>
      <c r="F27" s="14" t="str">
        <f aca="false">IF(E27="","",IFERROR(INDEX(카테고리!$B$2:$B$8,MATCH(E27,카테고리!$A$2:$A$8,0)),""))</f>
        <v/>
      </c>
      <c r="G27" s="15"/>
      <c r="H27" s="18"/>
      <c r="I27" s="15"/>
      <c r="J27" s="15"/>
    </row>
    <row r="28" customFormat="false" ht="15" hidden="false" customHeight="false" outlineLevel="0" collapsed="false">
      <c r="A28" s="14" t="str">
        <f aca="false">IF(B28="","",ROW()-1)</f>
        <v/>
      </c>
      <c r="B28" s="16"/>
      <c r="C28" s="14" t="str">
        <f aca="false">IF(B28="","",YEAR(B28))</f>
        <v/>
      </c>
      <c r="D28" s="15"/>
      <c r="E28" s="15"/>
      <c r="F28" s="14" t="str">
        <f aca="false">IF(E28="","",IFERROR(INDEX(카테고리!$B$2:$B$8,MATCH(E28,카테고리!$A$2:$A$8,0)),""))</f>
        <v/>
      </c>
      <c r="G28" s="15"/>
      <c r="H28" s="18"/>
      <c r="I28" s="15"/>
      <c r="J28" s="15"/>
    </row>
    <row r="29" customFormat="false" ht="15" hidden="false" customHeight="false" outlineLevel="0" collapsed="false">
      <c r="A29" s="14" t="str">
        <f aca="false">IF(B29="","",ROW()-1)</f>
        <v/>
      </c>
      <c r="B29" s="16"/>
      <c r="C29" s="14" t="str">
        <f aca="false">IF(B29="","",YEAR(B29))</f>
        <v/>
      </c>
      <c r="D29" s="15"/>
      <c r="E29" s="15"/>
      <c r="F29" s="14" t="str">
        <f aca="false">IF(E29="","",IFERROR(INDEX(카테고리!$B$2:$B$8,MATCH(E29,카테고리!$A$2:$A$8,0)),""))</f>
        <v/>
      </c>
      <c r="G29" s="15"/>
      <c r="H29" s="18"/>
      <c r="I29" s="15"/>
      <c r="J29" s="15"/>
    </row>
    <row r="30" customFormat="false" ht="15" hidden="false" customHeight="false" outlineLevel="0" collapsed="false">
      <c r="A30" s="14" t="str">
        <f aca="false">IF(B30="","",ROW()-1)</f>
        <v/>
      </c>
      <c r="B30" s="16"/>
      <c r="C30" s="14" t="str">
        <f aca="false">IF(B30="","",YEAR(B30))</f>
        <v/>
      </c>
      <c r="D30" s="15"/>
      <c r="E30" s="15"/>
      <c r="F30" s="14" t="str">
        <f aca="false">IF(E30="","",IFERROR(INDEX(카테고리!$B$2:$B$8,MATCH(E30,카테고리!$A$2:$A$8,0)),""))</f>
        <v/>
      </c>
      <c r="G30" s="15"/>
      <c r="H30" s="18"/>
      <c r="I30" s="15"/>
      <c r="J30" s="15"/>
    </row>
    <row r="31" customFormat="false" ht="15" hidden="false" customHeight="false" outlineLevel="0" collapsed="false">
      <c r="A31" s="14" t="str">
        <f aca="false">IF(B31="","",ROW()-1)</f>
        <v/>
      </c>
      <c r="B31" s="16"/>
      <c r="C31" s="14" t="str">
        <f aca="false">IF(B31="","",YEAR(B31))</f>
        <v/>
      </c>
      <c r="D31" s="15"/>
      <c r="E31" s="15"/>
      <c r="F31" s="14" t="str">
        <f aca="false">IF(E31="","",IFERROR(INDEX(카테고리!$B$2:$B$8,MATCH(E31,카테고리!$A$2:$A$8,0)),""))</f>
        <v/>
      </c>
      <c r="G31" s="15"/>
      <c r="H31" s="18"/>
      <c r="I31" s="15"/>
      <c r="J31" s="15"/>
    </row>
    <row r="32" customFormat="false" ht="15" hidden="false" customHeight="false" outlineLevel="0" collapsed="false">
      <c r="A32" s="14" t="str">
        <f aca="false">IF(B32="","",ROW()-1)</f>
        <v/>
      </c>
      <c r="B32" s="16"/>
      <c r="C32" s="14" t="str">
        <f aca="false">IF(B32="","",YEAR(B32))</f>
        <v/>
      </c>
      <c r="D32" s="15"/>
      <c r="E32" s="15"/>
      <c r="F32" s="14" t="str">
        <f aca="false">IF(E32="","",IFERROR(INDEX(카테고리!$B$2:$B$8,MATCH(E32,카테고리!$A$2:$A$8,0)),""))</f>
        <v/>
      </c>
      <c r="G32" s="15"/>
      <c r="H32" s="18"/>
      <c r="I32" s="15"/>
      <c r="J32" s="15"/>
    </row>
    <row r="33" customFormat="false" ht="15" hidden="false" customHeight="false" outlineLevel="0" collapsed="false">
      <c r="A33" s="14" t="str">
        <f aca="false">IF(B33="","",ROW()-1)</f>
        <v/>
      </c>
      <c r="B33" s="16"/>
      <c r="C33" s="14" t="str">
        <f aca="false">IF(B33="","",YEAR(B33))</f>
        <v/>
      </c>
      <c r="D33" s="15"/>
      <c r="E33" s="15"/>
      <c r="F33" s="14" t="str">
        <f aca="false">IF(E33="","",IFERROR(INDEX(카테고리!$B$2:$B$8,MATCH(E33,카테고리!$A$2:$A$8,0)),""))</f>
        <v/>
      </c>
      <c r="G33" s="15"/>
      <c r="H33" s="18"/>
      <c r="I33" s="15"/>
      <c r="J33" s="15"/>
    </row>
    <row r="34" customFormat="false" ht="15" hidden="false" customHeight="false" outlineLevel="0" collapsed="false">
      <c r="A34" s="14" t="str">
        <f aca="false">IF(B34="","",ROW()-1)</f>
        <v/>
      </c>
      <c r="B34" s="16"/>
      <c r="C34" s="14" t="str">
        <f aca="false">IF(B34="","",YEAR(B34))</f>
        <v/>
      </c>
      <c r="D34" s="15"/>
      <c r="E34" s="15"/>
      <c r="F34" s="14" t="str">
        <f aca="false">IF(E34="","",IFERROR(INDEX(카테고리!$B$2:$B$8,MATCH(E34,카테고리!$A$2:$A$8,0)),""))</f>
        <v/>
      </c>
      <c r="G34" s="15"/>
      <c r="H34" s="18"/>
      <c r="I34" s="15"/>
      <c r="J34" s="15"/>
    </row>
    <row r="35" customFormat="false" ht="15" hidden="false" customHeight="false" outlineLevel="0" collapsed="false">
      <c r="A35" s="14" t="str">
        <f aca="false">IF(B35="","",ROW()-1)</f>
        <v/>
      </c>
      <c r="B35" s="16"/>
      <c r="C35" s="14" t="str">
        <f aca="false">IF(B35="","",YEAR(B35))</f>
        <v/>
      </c>
      <c r="D35" s="15"/>
      <c r="E35" s="15"/>
      <c r="F35" s="14" t="str">
        <f aca="false">IF(E35="","",IFERROR(INDEX(카테고리!$B$2:$B$8,MATCH(E35,카테고리!$A$2:$A$8,0)),""))</f>
        <v/>
      </c>
      <c r="G35" s="15"/>
      <c r="H35" s="18"/>
      <c r="I35" s="15"/>
      <c r="J35" s="15"/>
    </row>
    <row r="36" customFormat="false" ht="15" hidden="false" customHeight="false" outlineLevel="0" collapsed="false">
      <c r="A36" s="14" t="str">
        <f aca="false">IF(B36="","",ROW()-1)</f>
        <v/>
      </c>
      <c r="B36" s="16"/>
      <c r="C36" s="14" t="str">
        <f aca="false">IF(B36="","",YEAR(B36))</f>
        <v/>
      </c>
      <c r="D36" s="15"/>
      <c r="E36" s="15"/>
      <c r="F36" s="14" t="str">
        <f aca="false">IF(E36="","",IFERROR(INDEX(카테고리!$B$2:$B$8,MATCH(E36,카테고리!$A$2:$A$8,0)),""))</f>
        <v/>
      </c>
      <c r="G36" s="15"/>
      <c r="H36" s="18"/>
      <c r="I36" s="15"/>
      <c r="J36" s="15"/>
    </row>
    <row r="37" customFormat="false" ht="15" hidden="false" customHeight="false" outlineLevel="0" collapsed="false">
      <c r="A37" s="14" t="str">
        <f aca="false">IF(B37="","",ROW()-1)</f>
        <v/>
      </c>
      <c r="B37" s="16"/>
      <c r="C37" s="14" t="str">
        <f aca="false">IF(B37="","",YEAR(B37))</f>
        <v/>
      </c>
      <c r="D37" s="15"/>
      <c r="E37" s="15"/>
      <c r="F37" s="14" t="str">
        <f aca="false">IF(E37="","",IFERROR(INDEX(카테고리!$B$2:$B$8,MATCH(E37,카테고리!$A$2:$A$8,0)),""))</f>
        <v/>
      </c>
      <c r="G37" s="15"/>
      <c r="H37" s="18"/>
      <c r="I37" s="15"/>
      <c r="J37" s="15"/>
    </row>
    <row r="38" customFormat="false" ht="15" hidden="false" customHeight="false" outlineLevel="0" collapsed="false">
      <c r="A38" s="14" t="str">
        <f aca="false">IF(B38="","",ROW()-1)</f>
        <v/>
      </c>
      <c r="B38" s="16"/>
      <c r="C38" s="14" t="str">
        <f aca="false">IF(B38="","",YEAR(B38))</f>
        <v/>
      </c>
      <c r="D38" s="15"/>
      <c r="E38" s="15"/>
      <c r="F38" s="14" t="str">
        <f aca="false">IF(E38="","",IFERROR(INDEX(카테고리!$B$2:$B$8,MATCH(E38,카테고리!$A$2:$A$8,0)),""))</f>
        <v/>
      </c>
      <c r="G38" s="15"/>
      <c r="H38" s="18"/>
      <c r="I38" s="15"/>
      <c r="J38" s="15"/>
    </row>
    <row r="39" customFormat="false" ht="15" hidden="false" customHeight="false" outlineLevel="0" collapsed="false">
      <c r="A39" s="14" t="str">
        <f aca="false">IF(B39="","",ROW()-1)</f>
        <v/>
      </c>
      <c r="B39" s="16"/>
      <c r="C39" s="14" t="str">
        <f aca="false">IF(B39="","",YEAR(B39))</f>
        <v/>
      </c>
      <c r="D39" s="15"/>
      <c r="E39" s="15"/>
      <c r="F39" s="14" t="str">
        <f aca="false">IF(E39="","",IFERROR(INDEX(카테고리!$B$2:$B$8,MATCH(E39,카테고리!$A$2:$A$8,0)),""))</f>
        <v/>
      </c>
      <c r="G39" s="15"/>
      <c r="H39" s="18"/>
      <c r="I39" s="15"/>
      <c r="J39" s="15"/>
    </row>
    <row r="40" customFormat="false" ht="15" hidden="false" customHeight="false" outlineLevel="0" collapsed="false">
      <c r="A40" s="14" t="str">
        <f aca="false">IF(B40="","",ROW()-1)</f>
        <v/>
      </c>
      <c r="B40" s="16"/>
      <c r="C40" s="14" t="str">
        <f aca="false">IF(B40="","",YEAR(B40))</f>
        <v/>
      </c>
      <c r="D40" s="15"/>
      <c r="E40" s="15"/>
      <c r="F40" s="14" t="str">
        <f aca="false">IF(E40="","",IFERROR(INDEX(카테고리!$B$2:$B$8,MATCH(E40,카테고리!$A$2:$A$8,0)),""))</f>
        <v/>
      </c>
      <c r="G40" s="15"/>
      <c r="H40" s="18"/>
      <c r="I40" s="15"/>
      <c r="J40" s="15"/>
    </row>
    <row r="41" customFormat="false" ht="15" hidden="false" customHeight="false" outlineLevel="0" collapsed="false">
      <c r="A41" s="14" t="str">
        <f aca="false">IF(B41="","",ROW()-1)</f>
        <v/>
      </c>
      <c r="B41" s="16"/>
      <c r="C41" s="14" t="str">
        <f aca="false">IF(B41="","",YEAR(B41))</f>
        <v/>
      </c>
      <c r="D41" s="15"/>
      <c r="E41" s="15"/>
      <c r="F41" s="14" t="str">
        <f aca="false">IF(E41="","",IFERROR(INDEX(카테고리!$B$2:$B$8,MATCH(E41,카테고리!$A$2:$A$8,0)),""))</f>
        <v/>
      </c>
      <c r="G41" s="15"/>
      <c r="H41" s="18"/>
      <c r="I41" s="15"/>
      <c r="J41" s="15"/>
    </row>
    <row r="42" customFormat="false" ht="15" hidden="false" customHeight="false" outlineLevel="0" collapsed="false">
      <c r="A42" s="14" t="str">
        <f aca="false">IF(B42="","",ROW()-1)</f>
        <v/>
      </c>
      <c r="B42" s="16"/>
      <c r="C42" s="14" t="str">
        <f aca="false">IF(B42="","",YEAR(B42))</f>
        <v/>
      </c>
      <c r="D42" s="15"/>
      <c r="E42" s="15"/>
      <c r="F42" s="14" t="str">
        <f aca="false">IF(E42="","",IFERROR(INDEX(카테고리!$B$2:$B$8,MATCH(E42,카테고리!$A$2:$A$8,0)),""))</f>
        <v/>
      </c>
      <c r="G42" s="15"/>
      <c r="H42" s="18"/>
      <c r="I42" s="15"/>
      <c r="J42" s="15"/>
    </row>
    <row r="43" customFormat="false" ht="15" hidden="false" customHeight="false" outlineLevel="0" collapsed="false">
      <c r="A43" s="14" t="str">
        <f aca="false">IF(B43="","",ROW()-1)</f>
        <v/>
      </c>
      <c r="B43" s="16"/>
      <c r="C43" s="14" t="str">
        <f aca="false">IF(B43="","",YEAR(B43))</f>
        <v/>
      </c>
      <c r="D43" s="15"/>
      <c r="E43" s="15"/>
      <c r="F43" s="14" t="str">
        <f aca="false">IF(E43="","",IFERROR(INDEX(카테고리!$B$2:$B$8,MATCH(E43,카테고리!$A$2:$A$8,0)),""))</f>
        <v/>
      </c>
      <c r="G43" s="15"/>
      <c r="H43" s="18"/>
      <c r="I43" s="15"/>
      <c r="J43" s="15"/>
    </row>
    <row r="44" customFormat="false" ht="15" hidden="false" customHeight="false" outlineLevel="0" collapsed="false">
      <c r="A44" s="14" t="str">
        <f aca="false">IF(B44="","",ROW()-1)</f>
        <v/>
      </c>
      <c r="B44" s="16"/>
      <c r="C44" s="14" t="str">
        <f aca="false">IF(B44="","",YEAR(B44))</f>
        <v/>
      </c>
      <c r="D44" s="15"/>
      <c r="E44" s="15"/>
      <c r="F44" s="14" t="str">
        <f aca="false">IF(E44="","",IFERROR(INDEX(카테고리!$B$2:$B$8,MATCH(E44,카테고리!$A$2:$A$8,0)),""))</f>
        <v/>
      </c>
      <c r="G44" s="15"/>
      <c r="H44" s="18"/>
      <c r="I44" s="15"/>
      <c r="J44" s="15"/>
    </row>
    <row r="45" customFormat="false" ht="15" hidden="false" customHeight="false" outlineLevel="0" collapsed="false">
      <c r="A45" s="14" t="str">
        <f aca="false">IF(B45="","",ROW()-1)</f>
        <v/>
      </c>
      <c r="B45" s="16"/>
      <c r="C45" s="14" t="str">
        <f aca="false">IF(B45="","",YEAR(B45))</f>
        <v/>
      </c>
      <c r="D45" s="15"/>
      <c r="E45" s="15"/>
      <c r="F45" s="14" t="str">
        <f aca="false">IF(E45="","",IFERROR(INDEX(카테고리!$B$2:$B$8,MATCH(E45,카테고리!$A$2:$A$8,0)),""))</f>
        <v/>
      </c>
      <c r="G45" s="15"/>
      <c r="H45" s="18"/>
      <c r="I45" s="15"/>
      <c r="J45" s="15"/>
    </row>
    <row r="46" customFormat="false" ht="15" hidden="false" customHeight="false" outlineLevel="0" collapsed="false">
      <c r="A46" s="14" t="str">
        <f aca="false">IF(B46="","",ROW()-1)</f>
        <v/>
      </c>
      <c r="B46" s="16"/>
      <c r="C46" s="14" t="str">
        <f aca="false">IF(B46="","",YEAR(B46))</f>
        <v/>
      </c>
      <c r="D46" s="15"/>
      <c r="E46" s="15"/>
      <c r="F46" s="14" t="str">
        <f aca="false">IF(E46="","",IFERROR(INDEX(카테고리!$B$2:$B$8,MATCH(E46,카테고리!$A$2:$A$8,0)),""))</f>
        <v/>
      </c>
      <c r="G46" s="15"/>
      <c r="H46" s="18"/>
      <c r="I46" s="15"/>
      <c r="J46" s="15"/>
    </row>
    <row r="47" customFormat="false" ht="15" hidden="false" customHeight="false" outlineLevel="0" collapsed="false">
      <c r="A47" s="14" t="str">
        <f aca="false">IF(B47="","",ROW()-1)</f>
        <v/>
      </c>
      <c r="B47" s="16"/>
      <c r="C47" s="14" t="str">
        <f aca="false">IF(B47="","",YEAR(B47))</f>
        <v/>
      </c>
      <c r="D47" s="15"/>
      <c r="E47" s="15"/>
      <c r="F47" s="14" t="str">
        <f aca="false">IF(E47="","",IFERROR(INDEX(카테고리!$B$2:$B$8,MATCH(E47,카테고리!$A$2:$A$8,0)),""))</f>
        <v/>
      </c>
      <c r="G47" s="15"/>
      <c r="H47" s="18"/>
      <c r="I47" s="15"/>
      <c r="J47" s="15"/>
    </row>
    <row r="48" customFormat="false" ht="15" hidden="false" customHeight="false" outlineLevel="0" collapsed="false">
      <c r="A48" s="14" t="str">
        <f aca="false">IF(B48="","",ROW()-1)</f>
        <v/>
      </c>
      <c r="B48" s="16"/>
      <c r="C48" s="14" t="str">
        <f aca="false">IF(B48="","",YEAR(B48))</f>
        <v/>
      </c>
      <c r="D48" s="15"/>
      <c r="E48" s="15"/>
      <c r="F48" s="14" t="str">
        <f aca="false">IF(E48="","",IFERROR(INDEX(카테고리!$B$2:$B$8,MATCH(E48,카테고리!$A$2:$A$8,0)),""))</f>
        <v/>
      </c>
      <c r="G48" s="15"/>
      <c r="H48" s="18"/>
      <c r="I48" s="15"/>
      <c r="J48" s="15"/>
    </row>
    <row r="49" customFormat="false" ht="15" hidden="false" customHeight="false" outlineLevel="0" collapsed="false">
      <c r="A49" s="14" t="str">
        <f aca="false">IF(B49="","",ROW()-1)</f>
        <v/>
      </c>
      <c r="B49" s="16"/>
      <c r="C49" s="14" t="str">
        <f aca="false">IF(B49="","",YEAR(B49))</f>
        <v/>
      </c>
      <c r="D49" s="15"/>
      <c r="E49" s="15"/>
      <c r="F49" s="14" t="str">
        <f aca="false">IF(E49="","",IFERROR(INDEX(카테고리!$B$2:$B$8,MATCH(E49,카테고리!$A$2:$A$8,0)),""))</f>
        <v/>
      </c>
      <c r="G49" s="15"/>
      <c r="H49" s="18"/>
      <c r="I49" s="15"/>
      <c r="J49" s="15"/>
    </row>
    <row r="50" customFormat="false" ht="15" hidden="false" customHeight="false" outlineLevel="0" collapsed="false">
      <c r="A50" s="14" t="str">
        <f aca="false">IF(B50="","",ROW()-1)</f>
        <v/>
      </c>
      <c r="B50" s="16"/>
      <c r="C50" s="14" t="str">
        <f aca="false">IF(B50="","",YEAR(B50))</f>
        <v/>
      </c>
      <c r="D50" s="15"/>
      <c r="E50" s="15"/>
      <c r="F50" s="14" t="str">
        <f aca="false">IF(E50="","",IFERROR(INDEX(카테고리!$B$2:$B$8,MATCH(E50,카테고리!$A$2:$A$8,0)),""))</f>
        <v/>
      </c>
      <c r="G50" s="15"/>
      <c r="H50" s="18"/>
      <c r="I50" s="15"/>
      <c r="J50" s="15"/>
    </row>
    <row r="51" customFormat="false" ht="15" hidden="false" customHeight="false" outlineLevel="0" collapsed="false">
      <c r="A51" s="14" t="str">
        <f aca="false">IF(B51="","",ROW()-1)</f>
        <v/>
      </c>
      <c r="B51" s="16"/>
      <c r="C51" s="14" t="str">
        <f aca="false">IF(B51="","",YEAR(B51))</f>
        <v/>
      </c>
      <c r="D51" s="15"/>
      <c r="E51" s="15"/>
      <c r="F51" s="14" t="str">
        <f aca="false">IF(E51="","",IFERROR(INDEX(카테고리!$B$2:$B$8,MATCH(E51,카테고리!$A$2:$A$8,0)),""))</f>
        <v/>
      </c>
      <c r="G51" s="15"/>
      <c r="H51" s="18"/>
      <c r="I51" s="15"/>
      <c r="J51" s="15"/>
    </row>
    <row r="52" customFormat="false" ht="15" hidden="false" customHeight="false" outlineLevel="0" collapsed="false">
      <c r="A52" s="14" t="str">
        <f aca="false">IF(B52="","",ROW()-1)</f>
        <v/>
      </c>
      <c r="B52" s="16"/>
      <c r="C52" s="14" t="str">
        <f aca="false">IF(B52="","",YEAR(B52))</f>
        <v/>
      </c>
      <c r="D52" s="15"/>
      <c r="E52" s="15"/>
      <c r="F52" s="14" t="str">
        <f aca="false">IF(E52="","",IFERROR(INDEX(카테고리!$B$2:$B$8,MATCH(E52,카테고리!$A$2:$A$8,0)),""))</f>
        <v/>
      </c>
      <c r="G52" s="15"/>
      <c r="H52" s="18"/>
      <c r="I52" s="15"/>
      <c r="J52" s="15"/>
    </row>
    <row r="53" customFormat="false" ht="15" hidden="false" customHeight="false" outlineLevel="0" collapsed="false">
      <c r="A53" s="14" t="str">
        <f aca="false">IF(B53="","",ROW()-1)</f>
        <v/>
      </c>
      <c r="B53" s="16"/>
      <c r="C53" s="14" t="str">
        <f aca="false">IF(B53="","",YEAR(B53))</f>
        <v/>
      </c>
      <c r="D53" s="15"/>
      <c r="E53" s="15"/>
      <c r="F53" s="14" t="str">
        <f aca="false">IF(E53="","",IFERROR(INDEX(카테고리!$B$2:$B$8,MATCH(E53,카테고리!$A$2:$A$8,0)),""))</f>
        <v/>
      </c>
      <c r="G53" s="15"/>
      <c r="H53" s="18"/>
      <c r="I53" s="15"/>
      <c r="J53" s="15"/>
    </row>
    <row r="54" customFormat="false" ht="15" hidden="false" customHeight="false" outlineLevel="0" collapsed="false">
      <c r="A54" s="14" t="str">
        <f aca="false">IF(B54="","",ROW()-1)</f>
        <v/>
      </c>
      <c r="B54" s="16"/>
      <c r="C54" s="14" t="str">
        <f aca="false">IF(B54="","",YEAR(B54))</f>
        <v/>
      </c>
      <c r="D54" s="15"/>
      <c r="E54" s="15"/>
      <c r="F54" s="14" t="str">
        <f aca="false">IF(E54="","",IFERROR(INDEX(카테고리!$B$2:$B$8,MATCH(E54,카테고리!$A$2:$A$8,0)),""))</f>
        <v/>
      </c>
      <c r="G54" s="15"/>
      <c r="H54" s="18"/>
      <c r="I54" s="15"/>
      <c r="J54" s="15"/>
    </row>
    <row r="55" customFormat="false" ht="15" hidden="false" customHeight="false" outlineLevel="0" collapsed="false">
      <c r="A55" s="14" t="str">
        <f aca="false">IF(B55="","",ROW()-1)</f>
        <v/>
      </c>
      <c r="B55" s="16"/>
      <c r="C55" s="14" t="str">
        <f aca="false">IF(B55="","",YEAR(B55))</f>
        <v/>
      </c>
      <c r="D55" s="15"/>
      <c r="E55" s="15"/>
      <c r="F55" s="14" t="str">
        <f aca="false">IF(E55="","",IFERROR(INDEX(카테고리!$B$2:$B$8,MATCH(E55,카테고리!$A$2:$A$8,0)),""))</f>
        <v/>
      </c>
      <c r="G55" s="15"/>
      <c r="H55" s="18"/>
      <c r="I55" s="15"/>
      <c r="J55" s="15"/>
    </row>
    <row r="56" customFormat="false" ht="15" hidden="false" customHeight="false" outlineLevel="0" collapsed="false">
      <c r="A56" s="14" t="str">
        <f aca="false">IF(B56="","",ROW()-1)</f>
        <v/>
      </c>
      <c r="B56" s="16"/>
      <c r="C56" s="14" t="str">
        <f aca="false">IF(B56="","",YEAR(B56))</f>
        <v/>
      </c>
      <c r="D56" s="15"/>
      <c r="E56" s="15"/>
      <c r="F56" s="14" t="str">
        <f aca="false">IF(E56="","",IFERROR(INDEX(카테고리!$B$2:$B$8,MATCH(E56,카테고리!$A$2:$A$8,0)),""))</f>
        <v/>
      </c>
      <c r="G56" s="15"/>
      <c r="H56" s="18"/>
      <c r="I56" s="15"/>
      <c r="J56" s="15"/>
    </row>
    <row r="57" customFormat="false" ht="15" hidden="false" customHeight="false" outlineLevel="0" collapsed="false">
      <c r="A57" s="14" t="str">
        <f aca="false">IF(B57="","",ROW()-1)</f>
        <v/>
      </c>
      <c r="B57" s="16"/>
      <c r="C57" s="14" t="str">
        <f aca="false">IF(B57="","",YEAR(B57))</f>
        <v/>
      </c>
      <c r="D57" s="15"/>
      <c r="E57" s="15"/>
      <c r="F57" s="14" t="str">
        <f aca="false">IF(E57="","",IFERROR(INDEX(카테고리!$B$2:$B$8,MATCH(E57,카테고리!$A$2:$A$8,0)),""))</f>
        <v/>
      </c>
      <c r="G57" s="15"/>
      <c r="H57" s="18"/>
      <c r="I57" s="15"/>
      <c r="J57" s="15"/>
    </row>
    <row r="58" customFormat="false" ht="15" hidden="false" customHeight="false" outlineLevel="0" collapsed="false">
      <c r="A58" s="14" t="str">
        <f aca="false">IF(B58="","",ROW()-1)</f>
        <v/>
      </c>
      <c r="B58" s="16"/>
      <c r="C58" s="14" t="str">
        <f aca="false">IF(B58="","",YEAR(B58))</f>
        <v/>
      </c>
      <c r="D58" s="15"/>
      <c r="E58" s="15"/>
      <c r="F58" s="14" t="str">
        <f aca="false">IF(E58="","",IFERROR(INDEX(카테고리!$B$2:$B$8,MATCH(E58,카테고리!$A$2:$A$8,0)),""))</f>
        <v/>
      </c>
      <c r="G58" s="15"/>
      <c r="H58" s="18"/>
      <c r="I58" s="15"/>
      <c r="J58" s="15"/>
    </row>
    <row r="59" customFormat="false" ht="15" hidden="false" customHeight="false" outlineLevel="0" collapsed="false">
      <c r="A59" s="14" t="str">
        <f aca="false">IF(B59="","",ROW()-1)</f>
        <v/>
      </c>
      <c r="B59" s="16"/>
      <c r="C59" s="14" t="str">
        <f aca="false">IF(B59="","",YEAR(B59))</f>
        <v/>
      </c>
      <c r="D59" s="15"/>
      <c r="E59" s="15"/>
      <c r="F59" s="14" t="str">
        <f aca="false">IF(E59="","",IFERROR(INDEX(카테고리!$B$2:$B$8,MATCH(E59,카테고리!$A$2:$A$8,0)),""))</f>
        <v/>
      </c>
      <c r="G59" s="15"/>
      <c r="H59" s="18"/>
      <c r="I59" s="15"/>
      <c r="J59" s="15"/>
    </row>
    <row r="60" customFormat="false" ht="15" hidden="false" customHeight="false" outlineLevel="0" collapsed="false">
      <c r="A60" s="14" t="str">
        <f aca="false">IF(B60="","",ROW()-1)</f>
        <v/>
      </c>
      <c r="B60" s="16"/>
      <c r="C60" s="14" t="str">
        <f aca="false">IF(B60="","",YEAR(B60))</f>
        <v/>
      </c>
      <c r="D60" s="15"/>
      <c r="E60" s="15"/>
      <c r="F60" s="14" t="str">
        <f aca="false">IF(E60="","",IFERROR(INDEX(카테고리!$B$2:$B$8,MATCH(E60,카테고리!$A$2:$A$8,0)),""))</f>
        <v/>
      </c>
      <c r="G60" s="15"/>
      <c r="H60" s="18"/>
      <c r="I60" s="15"/>
      <c r="J60" s="15"/>
    </row>
    <row r="61" customFormat="false" ht="15" hidden="false" customHeight="false" outlineLevel="0" collapsed="false">
      <c r="A61" s="14" t="str">
        <f aca="false">IF(B61="","",ROW()-1)</f>
        <v/>
      </c>
      <c r="B61" s="16"/>
      <c r="C61" s="14" t="str">
        <f aca="false">IF(B61="","",YEAR(B61))</f>
        <v/>
      </c>
      <c r="D61" s="15"/>
      <c r="E61" s="15"/>
      <c r="F61" s="14" t="str">
        <f aca="false">IF(E61="","",IFERROR(INDEX(카테고리!$B$2:$B$8,MATCH(E61,카테고리!$A$2:$A$8,0)),""))</f>
        <v/>
      </c>
      <c r="G61" s="15"/>
      <c r="H61" s="18"/>
      <c r="I61" s="15"/>
      <c r="J61" s="15"/>
    </row>
    <row r="62" customFormat="false" ht="15" hidden="false" customHeight="false" outlineLevel="0" collapsed="false">
      <c r="A62" s="14" t="str">
        <f aca="false">IF(B62="","",ROW()-1)</f>
        <v/>
      </c>
      <c r="B62" s="16"/>
      <c r="C62" s="14" t="str">
        <f aca="false">IF(B62="","",YEAR(B62))</f>
        <v/>
      </c>
      <c r="D62" s="15"/>
      <c r="E62" s="15"/>
      <c r="F62" s="14" t="str">
        <f aca="false">IF(E62="","",IFERROR(INDEX(카테고리!$B$2:$B$8,MATCH(E62,카테고리!$A$2:$A$8,0)),""))</f>
        <v/>
      </c>
      <c r="G62" s="15"/>
      <c r="H62" s="18"/>
      <c r="I62" s="15"/>
      <c r="J62" s="15"/>
    </row>
    <row r="63" customFormat="false" ht="15" hidden="false" customHeight="false" outlineLevel="0" collapsed="false">
      <c r="A63" s="14" t="str">
        <f aca="false">IF(B63="","",ROW()-1)</f>
        <v/>
      </c>
      <c r="B63" s="16"/>
      <c r="C63" s="14" t="str">
        <f aca="false">IF(B63="","",YEAR(B63))</f>
        <v/>
      </c>
      <c r="D63" s="15"/>
      <c r="E63" s="15"/>
      <c r="F63" s="14" t="str">
        <f aca="false">IF(E63="","",IFERROR(INDEX(카테고리!$B$2:$B$8,MATCH(E63,카테고리!$A$2:$A$8,0)),""))</f>
        <v/>
      </c>
      <c r="G63" s="15"/>
      <c r="H63" s="18"/>
      <c r="I63" s="15"/>
      <c r="J63" s="15"/>
    </row>
    <row r="64" customFormat="false" ht="15" hidden="false" customHeight="false" outlineLevel="0" collapsed="false">
      <c r="A64" s="14" t="str">
        <f aca="false">IF(B64="","",ROW()-1)</f>
        <v/>
      </c>
      <c r="B64" s="16"/>
      <c r="C64" s="14" t="str">
        <f aca="false">IF(B64="","",YEAR(B64))</f>
        <v/>
      </c>
      <c r="D64" s="15"/>
      <c r="E64" s="15"/>
      <c r="F64" s="14" t="str">
        <f aca="false">IF(E64="","",IFERROR(INDEX(카테고리!$B$2:$B$8,MATCH(E64,카테고리!$A$2:$A$8,0)),""))</f>
        <v/>
      </c>
      <c r="G64" s="15"/>
      <c r="H64" s="18"/>
      <c r="I64" s="15"/>
      <c r="J64" s="15"/>
    </row>
    <row r="65" customFormat="false" ht="15" hidden="false" customHeight="false" outlineLevel="0" collapsed="false">
      <c r="A65" s="14" t="str">
        <f aca="false">IF(B65="","",ROW()-1)</f>
        <v/>
      </c>
      <c r="B65" s="16"/>
      <c r="C65" s="14" t="str">
        <f aca="false">IF(B65="","",YEAR(B65))</f>
        <v/>
      </c>
      <c r="D65" s="15"/>
      <c r="E65" s="15"/>
      <c r="F65" s="14" t="str">
        <f aca="false">IF(E65="","",IFERROR(INDEX(카테고리!$B$2:$B$8,MATCH(E65,카테고리!$A$2:$A$8,0)),""))</f>
        <v/>
      </c>
      <c r="G65" s="15"/>
      <c r="H65" s="18"/>
      <c r="I65" s="15"/>
      <c r="J65" s="15"/>
    </row>
    <row r="66" customFormat="false" ht="15" hidden="false" customHeight="false" outlineLevel="0" collapsed="false">
      <c r="A66" s="14" t="str">
        <f aca="false">IF(B66="","",ROW()-1)</f>
        <v/>
      </c>
      <c r="B66" s="16"/>
      <c r="C66" s="14" t="str">
        <f aca="false">IF(B66="","",YEAR(B66))</f>
        <v/>
      </c>
      <c r="D66" s="15"/>
      <c r="E66" s="15"/>
      <c r="F66" s="14" t="str">
        <f aca="false">IF(E66="","",IFERROR(INDEX(카테고리!$B$2:$B$8,MATCH(E66,카테고리!$A$2:$A$8,0)),""))</f>
        <v/>
      </c>
      <c r="G66" s="15"/>
      <c r="H66" s="18"/>
      <c r="I66" s="15"/>
      <c r="J66" s="15"/>
    </row>
    <row r="67" customFormat="false" ht="15" hidden="false" customHeight="false" outlineLevel="0" collapsed="false">
      <c r="A67" s="14" t="str">
        <f aca="false">IF(B67="","",ROW()-1)</f>
        <v/>
      </c>
      <c r="B67" s="16"/>
      <c r="C67" s="14" t="str">
        <f aca="false">IF(B67="","",YEAR(B67))</f>
        <v/>
      </c>
      <c r="D67" s="15"/>
      <c r="E67" s="15"/>
      <c r="F67" s="14" t="str">
        <f aca="false">IF(E67="","",IFERROR(INDEX(카테고리!$B$2:$B$8,MATCH(E67,카테고리!$A$2:$A$8,0)),""))</f>
        <v/>
      </c>
      <c r="G67" s="15"/>
      <c r="H67" s="18"/>
      <c r="I67" s="15"/>
      <c r="J67" s="15"/>
    </row>
    <row r="68" customFormat="false" ht="15" hidden="false" customHeight="false" outlineLevel="0" collapsed="false">
      <c r="A68" s="14" t="str">
        <f aca="false">IF(B68="","",ROW()-1)</f>
        <v/>
      </c>
      <c r="B68" s="16"/>
      <c r="C68" s="14" t="str">
        <f aca="false">IF(B68="","",YEAR(B68))</f>
        <v/>
      </c>
      <c r="D68" s="15"/>
      <c r="E68" s="15"/>
      <c r="F68" s="14" t="str">
        <f aca="false">IF(E68="","",IFERROR(INDEX(카테고리!$B$2:$B$8,MATCH(E68,카테고리!$A$2:$A$8,0)),""))</f>
        <v/>
      </c>
      <c r="G68" s="15"/>
      <c r="H68" s="18"/>
      <c r="I68" s="15"/>
      <c r="J68" s="15"/>
    </row>
    <row r="69" customFormat="false" ht="15" hidden="false" customHeight="false" outlineLevel="0" collapsed="false">
      <c r="A69" s="14" t="str">
        <f aca="false">IF(B69="","",ROW()-1)</f>
        <v/>
      </c>
      <c r="B69" s="16"/>
      <c r="C69" s="14" t="str">
        <f aca="false">IF(B69="","",YEAR(B69))</f>
        <v/>
      </c>
      <c r="D69" s="15"/>
      <c r="E69" s="15"/>
      <c r="F69" s="14" t="str">
        <f aca="false">IF(E69="","",IFERROR(INDEX(카테고리!$B$2:$B$8,MATCH(E69,카테고리!$A$2:$A$8,0)),""))</f>
        <v/>
      </c>
      <c r="G69" s="15"/>
      <c r="H69" s="18"/>
      <c r="I69" s="15"/>
      <c r="J69" s="15"/>
    </row>
    <row r="70" customFormat="false" ht="15" hidden="false" customHeight="false" outlineLevel="0" collapsed="false">
      <c r="A70" s="14" t="str">
        <f aca="false">IF(B70="","",ROW()-1)</f>
        <v/>
      </c>
      <c r="B70" s="16"/>
      <c r="C70" s="14" t="str">
        <f aca="false">IF(B70="","",YEAR(B70))</f>
        <v/>
      </c>
      <c r="D70" s="15"/>
      <c r="E70" s="15"/>
      <c r="F70" s="14" t="str">
        <f aca="false">IF(E70="","",IFERROR(INDEX(카테고리!$B$2:$B$8,MATCH(E70,카테고리!$A$2:$A$8,0)),""))</f>
        <v/>
      </c>
      <c r="G70" s="15"/>
      <c r="H70" s="18"/>
      <c r="I70" s="15"/>
      <c r="J70" s="15"/>
    </row>
    <row r="71" customFormat="false" ht="15" hidden="false" customHeight="false" outlineLevel="0" collapsed="false">
      <c r="A71" s="14" t="str">
        <f aca="false">IF(B71="","",ROW()-1)</f>
        <v/>
      </c>
      <c r="B71" s="16"/>
      <c r="C71" s="14" t="str">
        <f aca="false">IF(B71="","",YEAR(B71))</f>
        <v/>
      </c>
      <c r="D71" s="15"/>
      <c r="E71" s="15"/>
      <c r="F71" s="14" t="str">
        <f aca="false">IF(E71="","",IFERROR(INDEX(카테고리!$B$2:$B$8,MATCH(E71,카테고리!$A$2:$A$8,0)),""))</f>
        <v/>
      </c>
      <c r="G71" s="15"/>
      <c r="H71" s="18"/>
      <c r="I71" s="15"/>
      <c r="J71" s="15"/>
    </row>
    <row r="72" customFormat="false" ht="15" hidden="false" customHeight="false" outlineLevel="0" collapsed="false">
      <c r="A72" s="14" t="str">
        <f aca="false">IF(B72="","",ROW()-1)</f>
        <v/>
      </c>
      <c r="B72" s="16"/>
      <c r="C72" s="14" t="str">
        <f aca="false">IF(B72="","",YEAR(B72))</f>
        <v/>
      </c>
      <c r="D72" s="15"/>
      <c r="E72" s="15"/>
      <c r="F72" s="14" t="str">
        <f aca="false">IF(E72="","",IFERROR(INDEX(카테고리!$B$2:$B$8,MATCH(E72,카테고리!$A$2:$A$8,0)),""))</f>
        <v/>
      </c>
      <c r="G72" s="15"/>
      <c r="H72" s="18"/>
      <c r="I72" s="15"/>
      <c r="J72" s="15"/>
    </row>
    <row r="73" customFormat="false" ht="15" hidden="false" customHeight="false" outlineLevel="0" collapsed="false">
      <c r="A73" s="14" t="str">
        <f aca="false">IF(B73="","",ROW()-1)</f>
        <v/>
      </c>
      <c r="B73" s="16"/>
      <c r="C73" s="14" t="str">
        <f aca="false">IF(B73="","",YEAR(B73))</f>
        <v/>
      </c>
      <c r="D73" s="15"/>
      <c r="E73" s="15"/>
      <c r="F73" s="14" t="str">
        <f aca="false">IF(E73="","",IFERROR(INDEX(카테고리!$B$2:$B$8,MATCH(E73,카테고리!$A$2:$A$8,0)),""))</f>
        <v/>
      </c>
      <c r="G73" s="15"/>
      <c r="H73" s="18"/>
      <c r="I73" s="15"/>
      <c r="J73" s="15"/>
    </row>
    <row r="74" customFormat="false" ht="15" hidden="false" customHeight="false" outlineLevel="0" collapsed="false">
      <c r="A74" s="14" t="str">
        <f aca="false">IF(B74="","",ROW()-1)</f>
        <v/>
      </c>
      <c r="B74" s="16"/>
      <c r="C74" s="14" t="str">
        <f aca="false">IF(B74="","",YEAR(B74))</f>
        <v/>
      </c>
      <c r="D74" s="15"/>
      <c r="E74" s="15"/>
      <c r="F74" s="14" t="str">
        <f aca="false">IF(E74="","",IFERROR(INDEX(카테고리!$B$2:$B$8,MATCH(E74,카테고리!$A$2:$A$8,0)),""))</f>
        <v/>
      </c>
      <c r="G74" s="15"/>
      <c r="H74" s="18"/>
      <c r="I74" s="15"/>
      <c r="J74" s="15"/>
    </row>
    <row r="75" customFormat="false" ht="15" hidden="false" customHeight="false" outlineLevel="0" collapsed="false">
      <c r="A75" s="14" t="str">
        <f aca="false">IF(B75="","",ROW()-1)</f>
        <v/>
      </c>
      <c r="B75" s="16"/>
      <c r="C75" s="14" t="str">
        <f aca="false">IF(B75="","",YEAR(B75))</f>
        <v/>
      </c>
      <c r="D75" s="15"/>
      <c r="E75" s="15"/>
      <c r="F75" s="14" t="str">
        <f aca="false">IF(E75="","",IFERROR(INDEX(카테고리!$B$2:$B$8,MATCH(E75,카테고리!$A$2:$A$8,0)),""))</f>
        <v/>
      </c>
      <c r="G75" s="15"/>
      <c r="H75" s="18"/>
      <c r="I75" s="15"/>
      <c r="J75" s="15"/>
    </row>
    <row r="76" customFormat="false" ht="15" hidden="false" customHeight="false" outlineLevel="0" collapsed="false">
      <c r="A76" s="14" t="str">
        <f aca="false">IF(B76="","",ROW()-1)</f>
        <v/>
      </c>
      <c r="B76" s="16"/>
      <c r="C76" s="14" t="str">
        <f aca="false">IF(B76="","",YEAR(B76))</f>
        <v/>
      </c>
      <c r="D76" s="15"/>
      <c r="E76" s="15"/>
      <c r="F76" s="14" t="str">
        <f aca="false">IF(E76="","",IFERROR(INDEX(카테고리!$B$2:$B$8,MATCH(E76,카테고리!$A$2:$A$8,0)),""))</f>
        <v/>
      </c>
      <c r="G76" s="15"/>
      <c r="H76" s="18"/>
      <c r="I76" s="15"/>
      <c r="J76" s="15"/>
    </row>
    <row r="77" customFormat="false" ht="15" hidden="false" customHeight="false" outlineLevel="0" collapsed="false">
      <c r="A77" s="14" t="str">
        <f aca="false">IF(B77="","",ROW()-1)</f>
        <v/>
      </c>
      <c r="B77" s="16"/>
      <c r="C77" s="14" t="str">
        <f aca="false">IF(B77="","",YEAR(B77))</f>
        <v/>
      </c>
      <c r="D77" s="15"/>
      <c r="E77" s="15"/>
      <c r="F77" s="14" t="str">
        <f aca="false">IF(E77="","",IFERROR(INDEX(카테고리!$B$2:$B$8,MATCH(E77,카테고리!$A$2:$A$8,0)),""))</f>
        <v/>
      </c>
      <c r="G77" s="15"/>
      <c r="H77" s="18"/>
      <c r="I77" s="15"/>
      <c r="J77" s="15"/>
    </row>
    <row r="78" customFormat="false" ht="15" hidden="false" customHeight="false" outlineLevel="0" collapsed="false">
      <c r="A78" s="14" t="str">
        <f aca="false">IF(B78="","",ROW()-1)</f>
        <v/>
      </c>
      <c r="B78" s="16"/>
      <c r="C78" s="14" t="str">
        <f aca="false">IF(B78="","",YEAR(B78))</f>
        <v/>
      </c>
      <c r="D78" s="15"/>
      <c r="E78" s="15"/>
      <c r="F78" s="14" t="str">
        <f aca="false">IF(E78="","",IFERROR(INDEX(카테고리!$B$2:$B$8,MATCH(E78,카테고리!$A$2:$A$8,0)),""))</f>
        <v/>
      </c>
      <c r="G78" s="15"/>
      <c r="H78" s="18"/>
      <c r="I78" s="15"/>
      <c r="J78" s="15"/>
    </row>
    <row r="79" customFormat="false" ht="15" hidden="false" customHeight="false" outlineLevel="0" collapsed="false">
      <c r="A79" s="14" t="str">
        <f aca="false">IF(B79="","",ROW()-1)</f>
        <v/>
      </c>
      <c r="B79" s="16"/>
      <c r="C79" s="14" t="str">
        <f aca="false">IF(B79="","",YEAR(B79))</f>
        <v/>
      </c>
      <c r="D79" s="15"/>
      <c r="E79" s="15"/>
      <c r="F79" s="14" t="str">
        <f aca="false">IF(E79="","",IFERROR(INDEX(카테고리!$B$2:$B$8,MATCH(E79,카테고리!$A$2:$A$8,0)),""))</f>
        <v/>
      </c>
      <c r="G79" s="15"/>
      <c r="H79" s="18"/>
      <c r="I79" s="15"/>
      <c r="J79" s="15"/>
    </row>
    <row r="80" customFormat="false" ht="15" hidden="false" customHeight="false" outlineLevel="0" collapsed="false">
      <c r="A80" s="14" t="str">
        <f aca="false">IF(B80="","",ROW()-1)</f>
        <v/>
      </c>
      <c r="B80" s="16"/>
      <c r="C80" s="14" t="str">
        <f aca="false">IF(B80="","",YEAR(B80))</f>
        <v/>
      </c>
      <c r="D80" s="15"/>
      <c r="E80" s="15"/>
      <c r="F80" s="14" t="str">
        <f aca="false">IF(E80="","",IFERROR(INDEX(카테고리!$B$2:$B$8,MATCH(E80,카테고리!$A$2:$A$8,0)),""))</f>
        <v/>
      </c>
      <c r="G80" s="15"/>
      <c r="H80" s="18"/>
      <c r="I80" s="15"/>
      <c r="J80" s="15"/>
    </row>
    <row r="81" customFormat="false" ht="15" hidden="false" customHeight="false" outlineLevel="0" collapsed="false">
      <c r="A81" s="14" t="str">
        <f aca="false">IF(B81="","",ROW()-1)</f>
        <v/>
      </c>
      <c r="B81" s="16"/>
      <c r="C81" s="14" t="str">
        <f aca="false">IF(B81="","",YEAR(B81))</f>
        <v/>
      </c>
      <c r="D81" s="15"/>
      <c r="E81" s="15"/>
      <c r="F81" s="14" t="str">
        <f aca="false">IF(E81="","",IFERROR(INDEX(카테고리!$B$2:$B$8,MATCH(E81,카테고리!$A$2:$A$8,0)),""))</f>
        <v/>
      </c>
      <c r="G81" s="15"/>
      <c r="H81" s="18"/>
      <c r="I81" s="15"/>
      <c r="J81" s="15"/>
    </row>
    <row r="82" customFormat="false" ht="15" hidden="false" customHeight="false" outlineLevel="0" collapsed="false">
      <c r="A82" s="14" t="str">
        <f aca="false">IF(B82="","",ROW()-1)</f>
        <v/>
      </c>
      <c r="B82" s="16"/>
      <c r="C82" s="14" t="str">
        <f aca="false">IF(B82="","",YEAR(B82))</f>
        <v/>
      </c>
      <c r="D82" s="15"/>
      <c r="E82" s="15"/>
      <c r="F82" s="14" t="str">
        <f aca="false">IF(E82="","",IFERROR(INDEX(카테고리!$B$2:$B$8,MATCH(E82,카테고리!$A$2:$A$8,0)),""))</f>
        <v/>
      </c>
      <c r="G82" s="15"/>
      <c r="H82" s="18"/>
      <c r="I82" s="15"/>
      <c r="J82" s="15"/>
    </row>
    <row r="83" customFormat="false" ht="15" hidden="false" customHeight="false" outlineLevel="0" collapsed="false">
      <c r="A83" s="14" t="str">
        <f aca="false">IF(B83="","",ROW()-1)</f>
        <v/>
      </c>
      <c r="B83" s="16"/>
      <c r="C83" s="14" t="str">
        <f aca="false">IF(B83="","",YEAR(B83))</f>
        <v/>
      </c>
      <c r="D83" s="15"/>
      <c r="E83" s="15"/>
      <c r="F83" s="14" t="str">
        <f aca="false">IF(E83="","",IFERROR(INDEX(카테고리!$B$2:$B$8,MATCH(E83,카테고리!$A$2:$A$8,0)),""))</f>
        <v/>
      </c>
      <c r="G83" s="15"/>
      <c r="H83" s="18"/>
      <c r="I83" s="15"/>
      <c r="J83" s="15"/>
    </row>
    <row r="84" customFormat="false" ht="15" hidden="false" customHeight="false" outlineLevel="0" collapsed="false">
      <c r="A84" s="14" t="str">
        <f aca="false">IF(B84="","",ROW()-1)</f>
        <v/>
      </c>
      <c r="B84" s="16"/>
      <c r="C84" s="14" t="str">
        <f aca="false">IF(B84="","",YEAR(B84))</f>
        <v/>
      </c>
      <c r="D84" s="15"/>
      <c r="E84" s="15"/>
      <c r="F84" s="14" t="str">
        <f aca="false">IF(E84="","",IFERROR(INDEX(카테고리!$B$2:$B$8,MATCH(E84,카테고리!$A$2:$A$8,0)),""))</f>
        <v/>
      </c>
      <c r="G84" s="15"/>
      <c r="H84" s="18"/>
      <c r="I84" s="15"/>
      <c r="J84" s="15"/>
    </row>
    <row r="85" customFormat="false" ht="15" hidden="false" customHeight="false" outlineLevel="0" collapsed="false">
      <c r="A85" s="14" t="str">
        <f aca="false">IF(B85="","",ROW()-1)</f>
        <v/>
      </c>
      <c r="B85" s="16"/>
      <c r="C85" s="14" t="str">
        <f aca="false">IF(B85="","",YEAR(B85))</f>
        <v/>
      </c>
      <c r="D85" s="15"/>
      <c r="E85" s="15"/>
      <c r="F85" s="14" t="str">
        <f aca="false">IF(E85="","",IFERROR(INDEX(카테고리!$B$2:$B$8,MATCH(E85,카테고리!$A$2:$A$8,0)),""))</f>
        <v/>
      </c>
      <c r="G85" s="15"/>
      <c r="H85" s="18"/>
      <c r="I85" s="15"/>
      <c r="J85" s="15"/>
    </row>
    <row r="86" customFormat="false" ht="15" hidden="false" customHeight="false" outlineLevel="0" collapsed="false">
      <c r="A86" s="14" t="str">
        <f aca="false">IF(B86="","",ROW()-1)</f>
        <v/>
      </c>
      <c r="B86" s="16"/>
      <c r="C86" s="14" t="str">
        <f aca="false">IF(B86="","",YEAR(B86))</f>
        <v/>
      </c>
      <c r="D86" s="15"/>
      <c r="E86" s="15"/>
      <c r="F86" s="14" t="str">
        <f aca="false">IF(E86="","",IFERROR(INDEX(카테고리!$B$2:$B$8,MATCH(E86,카테고리!$A$2:$A$8,0)),""))</f>
        <v/>
      </c>
      <c r="G86" s="15"/>
      <c r="H86" s="18"/>
      <c r="I86" s="15"/>
      <c r="J86" s="15"/>
    </row>
    <row r="87" customFormat="false" ht="15" hidden="false" customHeight="false" outlineLevel="0" collapsed="false">
      <c r="A87" s="14" t="str">
        <f aca="false">IF(B87="","",ROW()-1)</f>
        <v/>
      </c>
      <c r="B87" s="16"/>
      <c r="C87" s="14" t="str">
        <f aca="false">IF(B87="","",YEAR(B87))</f>
        <v/>
      </c>
      <c r="D87" s="15"/>
      <c r="E87" s="15"/>
      <c r="F87" s="14" t="str">
        <f aca="false">IF(E87="","",IFERROR(INDEX(카테고리!$B$2:$B$8,MATCH(E87,카테고리!$A$2:$A$8,0)),""))</f>
        <v/>
      </c>
      <c r="G87" s="15"/>
      <c r="H87" s="18"/>
      <c r="I87" s="15"/>
      <c r="J87" s="15"/>
    </row>
    <row r="88" customFormat="false" ht="15" hidden="false" customHeight="false" outlineLevel="0" collapsed="false">
      <c r="A88" s="14" t="str">
        <f aca="false">IF(B88="","",ROW()-1)</f>
        <v/>
      </c>
      <c r="B88" s="16"/>
      <c r="C88" s="14" t="str">
        <f aca="false">IF(B88="","",YEAR(B88))</f>
        <v/>
      </c>
      <c r="D88" s="15"/>
      <c r="E88" s="15"/>
      <c r="F88" s="14" t="str">
        <f aca="false">IF(E88="","",IFERROR(INDEX(카테고리!$B$2:$B$8,MATCH(E88,카테고리!$A$2:$A$8,0)),""))</f>
        <v/>
      </c>
      <c r="G88" s="15"/>
      <c r="H88" s="18"/>
      <c r="I88" s="15"/>
      <c r="J88" s="15"/>
    </row>
    <row r="89" customFormat="false" ht="15" hidden="false" customHeight="false" outlineLevel="0" collapsed="false">
      <c r="A89" s="14" t="str">
        <f aca="false">IF(B89="","",ROW()-1)</f>
        <v/>
      </c>
      <c r="B89" s="16"/>
      <c r="C89" s="14" t="str">
        <f aca="false">IF(B89="","",YEAR(B89))</f>
        <v/>
      </c>
      <c r="D89" s="15"/>
      <c r="E89" s="15"/>
      <c r="F89" s="14" t="str">
        <f aca="false">IF(E89="","",IFERROR(INDEX(카테고리!$B$2:$B$8,MATCH(E89,카테고리!$A$2:$A$8,0)),""))</f>
        <v/>
      </c>
      <c r="G89" s="15"/>
      <c r="H89" s="18"/>
      <c r="I89" s="15"/>
      <c r="J89" s="15"/>
    </row>
    <row r="90" customFormat="false" ht="15" hidden="false" customHeight="false" outlineLevel="0" collapsed="false">
      <c r="A90" s="14" t="str">
        <f aca="false">IF(B90="","",ROW()-1)</f>
        <v/>
      </c>
      <c r="B90" s="16"/>
      <c r="C90" s="14" t="str">
        <f aca="false">IF(B90="","",YEAR(B90))</f>
        <v/>
      </c>
      <c r="D90" s="15"/>
      <c r="E90" s="15"/>
      <c r="F90" s="14" t="str">
        <f aca="false">IF(E90="","",IFERROR(INDEX(카테고리!$B$2:$B$8,MATCH(E90,카테고리!$A$2:$A$8,0)),""))</f>
        <v/>
      </c>
      <c r="G90" s="15"/>
      <c r="H90" s="18"/>
      <c r="I90" s="15"/>
      <c r="J90" s="15"/>
    </row>
    <row r="91" customFormat="false" ht="15" hidden="false" customHeight="false" outlineLevel="0" collapsed="false">
      <c r="A91" s="14" t="str">
        <f aca="false">IF(B91="","",ROW()-1)</f>
        <v/>
      </c>
      <c r="B91" s="16"/>
      <c r="C91" s="14" t="str">
        <f aca="false">IF(B91="","",YEAR(B91))</f>
        <v/>
      </c>
      <c r="D91" s="15"/>
      <c r="E91" s="15"/>
      <c r="F91" s="14" t="str">
        <f aca="false">IF(E91="","",IFERROR(INDEX(카테고리!$B$2:$B$8,MATCH(E91,카테고리!$A$2:$A$8,0)),""))</f>
        <v/>
      </c>
      <c r="G91" s="15"/>
      <c r="H91" s="18"/>
      <c r="I91" s="15"/>
      <c r="J91" s="15"/>
    </row>
    <row r="92" customFormat="false" ht="15" hidden="false" customHeight="false" outlineLevel="0" collapsed="false">
      <c r="A92" s="14" t="str">
        <f aca="false">IF(B92="","",ROW()-1)</f>
        <v/>
      </c>
      <c r="B92" s="16"/>
      <c r="C92" s="14" t="str">
        <f aca="false">IF(B92="","",YEAR(B92))</f>
        <v/>
      </c>
      <c r="D92" s="15"/>
      <c r="E92" s="15"/>
      <c r="F92" s="14" t="str">
        <f aca="false">IF(E92="","",IFERROR(INDEX(카테고리!$B$2:$B$8,MATCH(E92,카테고리!$A$2:$A$8,0)),""))</f>
        <v/>
      </c>
      <c r="G92" s="15"/>
      <c r="H92" s="18"/>
      <c r="I92" s="15"/>
      <c r="J92" s="15"/>
    </row>
    <row r="93" customFormat="false" ht="15" hidden="false" customHeight="false" outlineLevel="0" collapsed="false">
      <c r="A93" s="14" t="str">
        <f aca="false">IF(B93="","",ROW()-1)</f>
        <v/>
      </c>
      <c r="B93" s="16"/>
      <c r="C93" s="14" t="str">
        <f aca="false">IF(B93="","",YEAR(B93))</f>
        <v/>
      </c>
      <c r="D93" s="15"/>
      <c r="E93" s="15"/>
      <c r="F93" s="14" t="str">
        <f aca="false">IF(E93="","",IFERROR(INDEX(카테고리!$B$2:$B$8,MATCH(E93,카테고리!$A$2:$A$8,0)),""))</f>
        <v/>
      </c>
      <c r="G93" s="15"/>
      <c r="H93" s="18"/>
      <c r="I93" s="15"/>
      <c r="J93" s="15"/>
    </row>
    <row r="94" customFormat="false" ht="15" hidden="false" customHeight="false" outlineLevel="0" collapsed="false">
      <c r="A94" s="14" t="str">
        <f aca="false">IF(B94="","",ROW()-1)</f>
        <v/>
      </c>
      <c r="B94" s="16"/>
      <c r="C94" s="14" t="str">
        <f aca="false">IF(B94="","",YEAR(B94))</f>
        <v/>
      </c>
      <c r="D94" s="15"/>
      <c r="E94" s="15"/>
      <c r="F94" s="14" t="str">
        <f aca="false">IF(E94="","",IFERROR(INDEX(카테고리!$B$2:$B$8,MATCH(E94,카테고리!$A$2:$A$8,0)),""))</f>
        <v/>
      </c>
      <c r="G94" s="15"/>
      <c r="H94" s="18"/>
      <c r="I94" s="15"/>
      <c r="J94" s="15"/>
    </row>
    <row r="95" customFormat="false" ht="15" hidden="false" customHeight="false" outlineLevel="0" collapsed="false">
      <c r="A95" s="14" t="str">
        <f aca="false">IF(B95="","",ROW()-1)</f>
        <v/>
      </c>
      <c r="B95" s="16"/>
      <c r="C95" s="14" t="str">
        <f aca="false">IF(B95="","",YEAR(B95))</f>
        <v/>
      </c>
      <c r="D95" s="15"/>
      <c r="E95" s="15"/>
      <c r="F95" s="14" t="str">
        <f aca="false">IF(E95="","",IFERROR(INDEX(카테고리!$B$2:$B$8,MATCH(E95,카테고리!$A$2:$A$8,0)),""))</f>
        <v/>
      </c>
      <c r="G95" s="15"/>
      <c r="H95" s="18"/>
      <c r="I95" s="15"/>
      <c r="J95" s="15"/>
    </row>
    <row r="96" customFormat="false" ht="15" hidden="false" customHeight="false" outlineLevel="0" collapsed="false">
      <c r="A96" s="14" t="str">
        <f aca="false">IF(B96="","",ROW()-1)</f>
        <v/>
      </c>
      <c r="B96" s="16"/>
      <c r="C96" s="14" t="str">
        <f aca="false">IF(B96="","",YEAR(B96))</f>
        <v/>
      </c>
      <c r="D96" s="15"/>
      <c r="E96" s="15"/>
      <c r="F96" s="14" t="str">
        <f aca="false">IF(E96="","",IFERROR(INDEX(카테고리!$B$2:$B$8,MATCH(E96,카테고리!$A$2:$A$8,0)),""))</f>
        <v/>
      </c>
      <c r="G96" s="15"/>
      <c r="H96" s="18"/>
      <c r="I96" s="15"/>
      <c r="J96" s="15"/>
    </row>
    <row r="97" customFormat="false" ht="15" hidden="false" customHeight="false" outlineLevel="0" collapsed="false">
      <c r="A97" s="14" t="str">
        <f aca="false">IF(B97="","",ROW()-1)</f>
        <v/>
      </c>
      <c r="B97" s="16"/>
      <c r="C97" s="14" t="str">
        <f aca="false">IF(B97="","",YEAR(B97))</f>
        <v/>
      </c>
      <c r="D97" s="15"/>
      <c r="E97" s="15"/>
      <c r="F97" s="14" t="str">
        <f aca="false">IF(E97="","",IFERROR(INDEX(카테고리!$B$2:$B$8,MATCH(E97,카테고리!$A$2:$A$8,0)),""))</f>
        <v/>
      </c>
      <c r="G97" s="15"/>
      <c r="H97" s="18"/>
      <c r="I97" s="15"/>
      <c r="J97" s="15"/>
    </row>
    <row r="98" customFormat="false" ht="15" hidden="false" customHeight="false" outlineLevel="0" collapsed="false">
      <c r="A98" s="14" t="str">
        <f aca="false">IF(B98="","",ROW()-1)</f>
        <v/>
      </c>
      <c r="B98" s="16"/>
      <c r="C98" s="14" t="str">
        <f aca="false">IF(B98="","",YEAR(B98))</f>
        <v/>
      </c>
      <c r="D98" s="15"/>
      <c r="E98" s="15"/>
      <c r="F98" s="14" t="str">
        <f aca="false">IF(E98="","",IFERROR(INDEX(카테고리!$B$2:$B$8,MATCH(E98,카테고리!$A$2:$A$8,0)),""))</f>
        <v/>
      </c>
      <c r="G98" s="15"/>
      <c r="H98" s="18"/>
      <c r="I98" s="15"/>
      <c r="J98" s="15"/>
    </row>
    <row r="99" customFormat="false" ht="15" hidden="false" customHeight="false" outlineLevel="0" collapsed="false">
      <c r="A99" s="14" t="str">
        <f aca="false">IF(B99="","",ROW()-1)</f>
        <v/>
      </c>
      <c r="B99" s="16"/>
      <c r="C99" s="14" t="str">
        <f aca="false">IF(B99="","",YEAR(B99))</f>
        <v/>
      </c>
      <c r="D99" s="15"/>
      <c r="E99" s="15"/>
      <c r="F99" s="14" t="str">
        <f aca="false">IF(E99="","",IFERROR(INDEX(카테고리!$B$2:$B$8,MATCH(E99,카테고리!$A$2:$A$8,0)),""))</f>
        <v/>
      </c>
      <c r="G99" s="15"/>
      <c r="H99" s="18"/>
      <c r="I99" s="15"/>
      <c r="J99" s="15"/>
    </row>
    <row r="100" customFormat="false" ht="15" hidden="false" customHeight="false" outlineLevel="0" collapsed="false">
      <c r="A100" s="14" t="str">
        <f aca="false">IF(B100="","",ROW()-1)</f>
        <v/>
      </c>
      <c r="B100" s="16"/>
      <c r="C100" s="14" t="str">
        <f aca="false">IF(B100="","",YEAR(B100))</f>
        <v/>
      </c>
      <c r="D100" s="15"/>
      <c r="E100" s="15"/>
      <c r="F100" s="14" t="str">
        <f aca="false">IF(E100="","",IFERROR(INDEX(카테고리!$B$2:$B$8,MATCH(E100,카테고리!$A$2:$A$8,0)),""))</f>
        <v/>
      </c>
      <c r="G100" s="15"/>
      <c r="H100" s="18"/>
      <c r="I100" s="15"/>
      <c r="J100" s="15"/>
    </row>
    <row r="101" customFormat="false" ht="15" hidden="false" customHeight="false" outlineLevel="0" collapsed="false">
      <c r="A101" s="14" t="str">
        <f aca="false">IF(B101="","",ROW()-1)</f>
        <v/>
      </c>
      <c r="B101" s="16"/>
      <c r="C101" s="14" t="str">
        <f aca="false">IF(B101="","",YEAR(B101))</f>
        <v/>
      </c>
      <c r="D101" s="15"/>
      <c r="E101" s="15"/>
      <c r="F101" s="14" t="str">
        <f aca="false">IF(E101="","",IFERROR(INDEX(카테고리!$B$2:$B$8,MATCH(E101,카테고리!$A$2:$A$8,0)),""))</f>
        <v/>
      </c>
      <c r="G101" s="15"/>
      <c r="H101" s="18"/>
      <c r="I101" s="15"/>
      <c r="J101" s="15"/>
    </row>
    <row r="102" customFormat="false" ht="15" hidden="false" customHeight="false" outlineLevel="0" collapsed="false">
      <c r="A102" s="14" t="str">
        <f aca="false">IF(B102="","",ROW()-1)</f>
        <v/>
      </c>
      <c r="B102" s="16"/>
      <c r="C102" s="14" t="str">
        <f aca="false">IF(B102="","",YEAR(B102))</f>
        <v/>
      </c>
      <c r="D102" s="15"/>
      <c r="E102" s="15"/>
      <c r="F102" s="14" t="str">
        <f aca="false">IF(E102="","",IFERROR(INDEX(카테고리!$B$2:$B$8,MATCH(E102,카테고리!$A$2:$A$8,0)),""))</f>
        <v/>
      </c>
      <c r="G102" s="15"/>
      <c r="H102" s="18"/>
      <c r="I102" s="15"/>
      <c r="J102" s="15"/>
    </row>
    <row r="103" customFormat="false" ht="15" hidden="false" customHeight="false" outlineLevel="0" collapsed="false">
      <c r="A103" s="14" t="str">
        <f aca="false">IF(B103="","",ROW()-1)</f>
        <v/>
      </c>
      <c r="B103" s="16"/>
      <c r="C103" s="14" t="str">
        <f aca="false">IF(B103="","",YEAR(B103))</f>
        <v/>
      </c>
      <c r="D103" s="15"/>
      <c r="E103" s="15"/>
      <c r="F103" s="14" t="str">
        <f aca="false">IF(E103="","",IFERROR(INDEX(카테고리!$B$2:$B$8,MATCH(E103,카테고리!$A$2:$A$8,0)),""))</f>
        <v/>
      </c>
      <c r="G103" s="15"/>
      <c r="H103" s="18"/>
      <c r="I103" s="15"/>
      <c r="J103" s="15"/>
    </row>
    <row r="104" customFormat="false" ht="15" hidden="false" customHeight="false" outlineLevel="0" collapsed="false">
      <c r="A104" s="14" t="str">
        <f aca="false">IF(B104="","",ROW()-1)</f>
        <v/>
      </c>
      <c r="B104" s="16"/>
      <c r="C104" s="14" t="str">
        <f aca="false">IF(B104="","",YEAR(B104))</f>
        <v/>
      </c>
      <c r="D104" s="15"/>
      <c r="E104" s="15"/>
      <c r="F104" s="14" t="str">
        <f aca="false">IF(E104="","",IFERROR(INDEX(카테고리!$B$2:$B$8,MATCH(E104,카테고리!$A$2:$A$8,0)),""))</f>
        <v/>
      </c>
      <c r="G104" s="15"/>
      <c r="H104" s="18"/>
      <c r="I104" s="15"/>
      <c r="J104" s="15"/>
    </row>
    <row r="105" customFormat="false" ht="15" hidden="false" customHeight="false" outlineLevel="0" collapsed="false">
      <c r="A105" s="14" t="str">
        <f aca="false">IF(B105="","",ROW()-1)</f>
        <v/>
      </c>
      <c r="B105" s="16"/>
      <c r="C105" s="14" t="str">
        <f aca="false">IF(B105="","",YEAR(B105))</f>
        <v/>
      </c>
      <c r="D105" s="15"/>
      <c r="E105" s="15"/>
      <c r="F105" s="14" t="str">
        <f aca="false">IF(E105="","",IFERROR(INDEX(카테고리!$B$2:$B$8,MATCH(E105,카테고리!$A$2:$A$8,0)),""))</f>
        <v/>
      </c>
      <c r="G105" s="15"/>
      <c r="H105" s="18"/>
      <c r="I105" s="15"/>
      <c r="J105" s="15"/>
    </row>
    <row r="106" customFormat="false" ht="15" hidden="false" customHeight="false" outlineLevel="0" collapsed="false">
      <c r="A106" s="14" t="str">
        <f aca="false">IF(B106="","",ROW()-1)</f>
        <v/>
      </c>
      <c r="B106" s="16"/>
      <c r="C106" s="14" t="str">
        <f aca="false">IF(B106="","",YEAR(B106))</f>
        <v/>
      </c>
      <c r="D106" s="15"/>
      <c r="E106" s="15"/>
      <c r="F106" s="14" t="str">
        <f aca="false">IF(E106="","",IFERROR(INDEX(카테고리!$B$2:$B$8,MATCH(E106,카테고리!$A$2:$A$8,0)),""))</f>
        <v/>
      </c>
      <c r="G106" s="15"/>
      <c r="H106" s="18"/>
      <c r="I106" s="15"/>
      <c r="J106" s="15"/>
    </row>
    <row r="107" customFormat="false" ht="15" hidden="false" customHeight="false" outlineLevel="0" collapsed="false">
      <c r="A107" s="14" t="str">
        <f aca="false">IF(B107="","",ROW()-1)</f>
        <v/>
      </c>
      <c r="B107" s="16"/>
      <c r="C107" s="14" t="str">
        <f aca="false">IF(B107="","",YEAR(B107))</f>
        <v/>
      </c>
      <c r="D107" s="15"/>
      <c r="E107" s="15"/>
      <c r="F107" s="14" t="str">
        <f aca="false">IF(E107="","",IFERROR(INDEX(카테고리!$B$2:$B$8,MATCH(E107,카테고리!$A$2:$A$8,0)),""))</f>
        <v/>
      </c>
      <c r="G107" s="15"/>
      <c r="H107" s="18"/>
      <c r="I107" s="15"/>
      <c r="J107" s="15"/>
    </row>
    <row r="108" customFormat="false" ht="15" hidden="false" customHeight="false" outlineLevel="0" collapsed="false">
      <c r="A108" s="14" t="str">
        <f aca="false">IF(B108="","",ROW()-1)</f>
        <v/>
      </c>
      <c r="B108" s="16"/>
      <c r="C108" s="14" t="str">
        <f aca="false">IF(B108="","",YEAR(B108))</f>
        <v/>
      </c>
      <c r="D108" s="15"/>
      <c r="E108" s="15"/>
      <c r="F108" s="14" t="str">
        <f aca="false">IF(E108="","",IFERROR(INDEX(카테고리!$B$2:$B$8,MATCH(E108,카테고리!$A$2:$A$8,0)),""))</f>
        <v/>
      </c>
      <c r="G108" s="15"/>
      <c r="H108" s="18"/>
      <c r="I108" s="15"/>
      <c r="J108" s="15"/>
    </row>
    <row r="109" customFormat="false" ht="15" hidden="false" customHeight="false" outlineLevel="0" collapsed="false">
      <c r="A109" s="14" t="str">
        <f aca="false">IF(B109="","",ROW()-1)</f>
        <v/>
      </c>
      <c r="B109" s="16"/>
      <c r="C109" s="14" t="str">
        <f aca="false">IF(B109="","",YEAR(B109))</f>
        <v/>
      </c>
      <c r="D109" s="15"/>
      <c r="E109" s="15"/>
      <c r="F109" s="14" t="str">
        <f aca="false">IF(E109="","",IFERROR(INDEX(카테고리!$B$2:$B$8,MATCH(E109,카테고리!$A$2:$A$8,0)),""))</f>
        <v/>
      </c>
      <c r="G109" s="15"/>
      <c r="H109" s="18"/>
      <c r="I109" s="15"/>
      <c r="J109" s="15"/>
    </row>
    <row r="110" customFormat="false" ht="15" hidden="false" customHeight="false" outlineLevel="0" collapsed="false">
      <c r="A110" s="14" t="str">
        <f aca="false">IF(B110="","",ROW()-1)</f>
        <v/>
      </c>
      <c r="B110" s="16"/>
      <c r="C110" s="14" t="str">
        <f aca="false">IF(B110="","",YEAR(B110))</f>
        <v/>
      </c>
      <c r="D110" s="15"/>
      <c r="E110" s="15"/>
      <c r="F110" s="14" t="str">
        <f aca="false">IF(E110="","",IFERROR(INDEX(카테고리!$B$2:$B$8,MATCH(E110,카테고리!$A$2:$A$8,0)),""))</f>
        <v/>
      </c>
      <c r="G110" s="15"/>
      <c r="H110" s="18"/>
      <c r="I110" s="15"/>
      <c r="J110" s="15"/>
    </row>
    <row r="111" customFormat="false" ht="15" hidden="false" customHeight="false" outlineLevel="0" collapsed="false">
      <c r="A111" s="14" t="str">
        <f aca="false">IF(B111="","",ROW()-1)</f>
        <v/>
      </c>
      <c r="B111" s="16"/>
      <c r="C111" s="14" t="str">
        <f aca="false">IF(B111="","",YEAR(B111))</f>
        <v/>
      </c>
      <c r="D111" s="15"/>
      <c r="E111" s="15"/>
      <c r="F111" s="14" t="str">
        <f aca="false">IF(E111="","",IFERROR(INDEX(카테고리!$B$2:$B$8,MATCH(E111,카테고리!$A$2:$A$8,0)),""))</f>
        <v/>
      </c>
      <c r="G111" s="15"/>
      <c r="H111" s="18"/>
      <c r="I111" s="15"/>
      <c r="J111" s="15"/>
    </row>
    <row r="112" customFormat="false" ht="15" hidden="false" customHeight="false" outlineLevel="0" collapsed="false">
      <c r="A112" s="14" t="str">
        <f aca="false">IF(B112="","",ROW()-1)</f>
        <v/>
      </c>
      <c r="B112" s="16"/>
      <c r="C112" s="14" t="str">
        <f aca="false">IF(B112="","",YEAR(B112))</f>
        <v/>
      </c>
      <c r="D112" s="15"/>
      <c r="E112" s="15"/>
      <c r="F112" s="14" t="str">
        <f aca="false">IF(E112="","",IFERROR(INDEX(카테고리!$B$2:$B$8,MATCH(E112,카테고리!$A$2:$A$8,0)),""))</f>
        <v/>
      </c>
      <c r="G112" s="15"/>
      <c r="H112" s="18"/>
      <c r="I112" s="15"/>
      <c r="J112" s="15"/>
    </row>
    <row r="113" customFormat="false" ht="15" hidden="false" customHeight="false" outlineLevel="0" collapsed="false">
      <c r="A113" s="14" t="str">
        <f aca="false">IF(B113="","",ROW()-1)</f>
        <v/>
      </c>
      <c r="B113" s="16"/>
      <c r="C113" s="14" t="str">
        <f aca="false">IF(B113="","",YEAR(B113))</f>
        <v/>
      </c>
      <c r="D113" s="15"/>
      <c r="E113" s="15"/>
      <c r="F113" s="14" t="str">
        <f aca="false">IF(E113="","",IFERROR(INDEX(카테고리!$B$2:$B$8,MATCH(E113,카테고리!$A$2:$A$8,0)),""))</f>
        <v/>
      </c>
      <c r="G113" s="15"/>
      <c r="H113" s="18"/>
      <c r="I113" s="15"/>
      <c r="J113" s="15"/>
    </row>
    <row r="114" customFormat="false" ht="15" hidden="false" customHeight="false" outlineLevel="0" collapsed="false">
      <c r="A114" s="14" t="str">
        <f aca="false">IF(B114="","",ROW()-1)</f>
        <v/>
      </c>
      <c r="B114" s="16"/>
      <c r="C114" s="14" t="str">
        <f aca="false">IF(B114="","",YEAR(B114))</f>
        <v/>
      </c>
      <c r="D114" s="15"/>
      <c r="E114" s="15"/>
      <c r="F114" s="14" t="str">
        <f aca="false">IF(E114="","",IFERROR(INDEX(카테고리!$B$2:$B$8,MATCH(E114,카테고리!$A$2:$A$8,0)),""))</f>
        <v/>
      </c>
      <c r="G114" s="15"/>
      <c r="H114" s="18"/>
      <c r="I114" s="15"/>
      <c r="J114" s="15"/>
    </row>
    <row r="115" customFormat="false" ht="15" hidden="false" customHeight="false" outlineLevel="0" collapsed="false">
      <c r="A115" s="14" t="str">
        <f aca="false">IF(B115="","",ROW()-1)</f>
        <v/>
      </c>
      <c r="B115" s="16"/>
      <c r="C115" s="14" t="str">
        <f aca="false">IF(B115="","",YEAR(B115))</f>
        <v/>
      </c>
      <c r="D115" s="15"/>
      <c r="E115" s="15"/>
      <c r="F115" s="14" t="str">
        <f aca="false">IF(E115="","",IFERROR(INDEX(카테고리!$B$2:$B$8,MATCH(E115,카테고리!$A$2:$A$8,0)),""))</f>
        <v/>
      </c>
      <c r="G115" s="15"/>
      <c r="H115" s="18"/>
      <c r="I115" s="15"/>
      <c r="J115" s="15"/>
    </row>
    <row r="116" customFormat="false" ht="15" hidden="false" customHeight="false" outlineLevel="0" collapsed="false">
      <c r="A116" s="14" t="str">
        <f aca="false">IF(B116="","",ROW()-1)</f>
        <v/>
      </c>
      <c r="B116" s="16"/>
      <c r="C116" s="14" t="str">
        <f aca="false">IF(B116="","",YEAR(B116))</f>
        <v/>
      </c>
      <c r="D116" s="15"/>
      <c r="E116" s="15"/>
      <c r="F116" s="14" t="str">
        <f aca="false">IF(E116="","",IFERROR(INDEX(카테고리!$B$2:$B$8,MATCH(E116,카테고리!$A$2:$A$8,0)),""))</f>
        <v/>
      </c>
      <c r="G116" s="15"/>
      <c r="H116" s="18"/>
      <c r="I116" s="15"/>
      <c r="J116" s="15"/>
    </row>
    <row r="117" customFormat="false" ht="15" hidden="false" customHeight="false" outlineLevel="0" collapsed="false">
      <c r="A117" s="14" t="str">
        <f aca="false">IF(B117="","",ROW()-1)</f>
        <v/>
      </c>
      <c r="B117" s="16"/>
      <c r="C117" s="14" t="str">
        <f aca="false">IF(B117="","",YEAR(B117))</f>
        <v/>
      </c>
      <c r="D117" s="15"/>
      <c r="E117" s="15"/>
      <c r="F117" s="14" t="str">
        <f aca="false">IF(E117="","",IFERROR(INDEX(카테고리!$B$2:$B$8,MATCH(E117,카테고리!$A$2:$A$8,0)),""))</f>
        <v/>
      </c>
      <c r="G117" s="15"/>
      <c r="H117" s="18"/>
      <c r="I117" s="15"/>
      <c r="J117" s="15"/>
    </row>
    <row r="118" customFormat="false" ht="15" hidden="false" customHeight="false" outlineLevel="0" collapsed="false">
      <c r="A118" s="14" t="str">
        <f aca="false">IF(B118="","",ROW()-1)</f>
        <v/>
      </c>
      <c r="B118" s="16"/>
      <c r="C118" s="14" t="str">
        <f aca="false">IF(B118="","",YEAR(B118))</f>
        <v/>
      </c>
      <c r="D118" s="15"/>
      <c r="E118" s="15"/>
      <c r="F118" s="14" t="str">
        <f aca="false">IF(E118="","",IFERROR(INDEX(카테고리!$B$2:$B$8,MATCH(E118,카테고리!$A$2:$A$8,0)),""))</f>
        <v/>
      </c>
      <c r="G118" s="15"/>
      <c r="H118" s="18"/>
      <c r="I118" s="15"/>
      <c r="J118" s="15"/>
    </row>
    <row r="119" customFormat="false" ht="15" hidden="false" customHeight="false" outlineLevel="0" collapsed="false">
      <c r="A119" s="14" t="str">
        <f aca="false">IF(B119="","",ROW()-1)</f>
        <v/>
      </c>
      <c r="B119" s="16"/>
      <c r="C119" s="14" t="str">
        <f aca="false">IF(B119="","",YEAR(B119))</f>
        <v/>
      </c>
      <c r="D119" s="15"/>
      <c r="E119" s="15"/>
      <c r="F119" s="14" t="str">
        <f aca="false">IF(E119="","",IFERROR(INDEX(카테고리!$B$2:$B$8,MATCH(E119,카테고리!$A$2:$A$8,0)),""))</f>
        <v/>
      </c>
      <c r="G119" s="15"/>
      <c r="H119" s="18"/>
      <c r="I119" s="15"/>
      <c r="J119" s="15"/>
    </row>
    <row r="120" customFormat="false" ht="15" hidden="false" customHeight="false" outlineLevel="0" collapsed="false">
      <c r="A120" s="14" t="str">
        <f aca="false">IF(B120="","",ROW()-1)</f>
        <v/>
      </c>
      <c r="B120" s="16"/>
      <c r="C120" s="14" t="str">
        <f aca="false">IF(B120="","",YEAR(B120))</f>
        <v/>
      </c>
      <c r="D120" s="15"/>
      <c r="E120" s="15"/>
      <c r="F120" s="14" t="str">
        <f aca="false">IF(E120="","",IFERROR(INDEX(카테고리!$B$2:$B$8,MATCH(E120,카테고리!$A$2:$A$8,0)),""))</f>
        <v/>
      </c>
      <c r="G120" s="15"/>
      <c r="H120" s="18"/>
      <c r="I120" s="15"/>
      <c r="J120" s="15"/>
    </row>
    <row r="121" customFormat="false" ht="15" hidden="false" customHeight="false" outlineLevel="0" collapsed="false">
      <c r="A121" s="14" t="str">
        <f aca="false">IF(B121="","",ROW()-1)</f>
        <v/>
      </c>
      <c r="B121" s="16"/>
      <c r="C121" s="14" t="str">
        <f aca="false">IF(B121="","",YEAR(B121))</f>
        <v/>
      </c>
      <c r="D121" s="15"/>
      <c r="E121" s="15"/>
      <c r="F121" s="14" t="str">
        <f aca="false">IF(E121="","",IFERROR(INDEX(카테고리!$B$2:$B$8,MATCH(E121,카테고리!$A$2:$A$8,0)),""))</f>
        <v/>
      </c>
      <c r="G121" s="15"/>
      <c r="H121" s="18"/>
      <c r="I121" s="15"/>
      <c r="J121" s="15"/>
    </row>
    <row r="122" customFormat="false" ht="15" hidden="false" customHeight="false" outlineLevel="0" collapsed="false">
      <c r="A122" s="14" t="str">
        <f aca="false">IF(B122="","",ROW()-1)</f>
        <v/>
      </c>
      <c r="B122" s="16"/>
      <c r="C122" s="14" t="str">
        <f aca="false">IF(B122="","",YEAR(B122))</f>
        <v/>
      </c>
      <c r="D122" s="15"/>
      <c r="E122" s="15"/>
      <c r="F122" s="14" t="str">
        <f aca="false">IF(E122="","",IFERROR(INDEX(카테고리!$B$2:$B$8,MATCH(E122,카테고리!$A$2:$A$8,0)),""))</f>
        <v/>
      </c>
      <c r="G122" s="15"/>
      <c r="H122" s="18"/>
      <c r="I122" s="15"/>
      <c r="J122" s="15"/>
    </row>
    <row r="123" customFormat="false" ht="15" hidden="false" customHeight="false" outlineLevel="0" collapsed="false">
      <c r="A123" s="14" t="str">
        <f aca="false">IF(B123="","",ROW()-1)</f>
        <v/>
      </c>
      <c r="B123" s="16"/>
      <c r="C123" s="14" t="str">
        <f aca="false">IF(B123="","",YEAR(B123))</f>
        <v/>
      </c>
      <c r="D123" s="15"/>
      <c r="E123" s="15"/>
      <c r="F123" s="14" t="str">
        <f aca="false">IF(E123="","",IFERROR(INDEX(카테고리!$B$2:$B$8,MATCH(E123,카테고리!$A$2:$A$8,0)),""))</f>
        <v/>
      </c>
      <c r="G123" s="15"/>
      <c r="H123" s="18"/>
      <c r="I123" s="15"/>
      <c r="J123" s="15"/>
    </row>
    <row r="124" customFormat="false" ht="15" hidden="false" customHeight="false" outlineLevel="0" collapsed="false">
      <c r="A124" s="14" t="str">
        <f aca="false">IF(B124="","",ROW()-1)</f>
        <v/>
      </c>
      <c r="B124" s="16"/>
      <c r="C124" s="14" t="str">
        <f aca="false">IF(B124="","",YEAR(B124))</f>
        <v/>
      </c>
      <c r="D124" s="15"/>
      <c r="E124" s="15"/>
      <c r="F124" s="14" t="str">
        <f aca="false">IF(E124="","",IFERROR(INDEX(카테고리!$B$2:$B$8,MATCH(E124,카테고리!$A$2:$A$8,0)),""))</f>
        <v/>
      </c>
      <c r="G124" s="15"/>
      <c r="H124" s="18"/>
      <c r="I124" s="15"/>
      <c r="J124" s="15"/>
    </row>
    <row r="125" customFormat="false" ht="15" hidden="false" customHeight="false" outlineLevel="0" collapsed="false">
      <c r="A125" s="14" t="str">
        <f aca="false">IF(B125="","",ROW()-1)</f>
        <v/>
      </c>
      <c r="B125" s="16"/>
      <c r="C125" s="14" t="str">
        <f aca="false">IF(B125="","",YEAR(B125))</f>
        <v/>
      </c>
      <c r="D125" s="15"/>
      <c r="E125" s="15"/>
      <c r="F125" s="14" t="str">
        <f aca="false">IF(E125="","",IFERROR(INDEX(카테고리!$B$2:$B$8,MATCH(E125,카테고리!$A$2:$A$8,0)),""))</f>
        <v/>
      </c>
      <c r="G125" s="15"/>
      <c r="H125" s="18"/>
      <c r="I125" s="15"/>
      <c r="J125" s="15"/>
    </row>
    <row r="126" customFormat="false" ht="15" hidden="false" customHeight="false" outlineLevel="0" collapsed="false">
      <c r="A126" s="14" t="str">
        <f aca="false">IF(B126="","",ROW()-1)</f>
        <v/>
      </c>
      <c r="B126" s="16"/>
      <c r="C126" s="14" t="str">
        <f aca="false">IF(B126="","",YEAR(B126))</f>
        <v/>
      </c>
      <c r="D126" s="15"/>
      <c r="E126" s="15"/>
      <c r="F126" s="14" t="str">
        <f aca="false">IF(E126="","",IFERROR(INDEX(카테고리!$B$2:$B$8,MATCH(E126,카테고리!$A$2:$A$8,0)),""))</f>
        <v/>
      </c>
      <c r="G126" s="15"/>
      <c r="H126" s="18"/>
      <c r="I126" s="15"/>
      <c r="J126" s="15"/>
    </row>
    <row r="127" customFormat="false" ht="15" hidden="false" customHeight="false" outlineLevel="0" collapsed="false">
      <c r="A127" s="14" t="str">
        <f aca="false">IF(B127="","",ROW()-1)</f>
        <v/>
      </c>
      <c r="B127" s="16"/>
      <c r="C127" s="14" t="str">
        <f aca="false">IF(B127="","",YEAR(B127))</f>
        <v/>
      </c>
      <c r="D127" s="15"/>
      <c r="E127" s="15"/>
      <c r="F127" s="14" t="str">
        <f aca="false">IF(E127="","",IFERROR(INDEX(카테고리!$B$2:$B$8,MATCH(E127,카테고리!$A$2:$A$8,0)),""))</f>
        <v/>
      </c>
      <c r="G127" s="15"/>
      <c r="H127" s="18"/>
      <c r="I127" s="15"/>
      <c r="J127" s="15"/>
    </row>
    <row r="128" customFormat="false" ht="15" hidden="false" customHeight="false" outlineLevel="0" collapsed="false">
      <c r="A128" s="14" t="str">
        <f aca="false">IF(B128="","",ROW()-1)</f>
        <v/>
      </c>
      <c r="B128" s="16"/>
      <c r="C128" s="14" t="str">
        <f aca="false">IF(B128="","",YEAR(B128))</f>
        <v/>
      </c>
      <c r="D128" s="15"/>
      <c r="E128" s="15"/>
      <c r="F128" s="14" t="str">
        <f aca="false">IF(E128="","",IFERROR(INDEX(카테고리!$B$2:$B$8,MATCH(E128,카테고리!$A$2:$A$8,0)),""))</f>
        <v/>
      </c>
      <c r="G128" s="15"/>
      <c r="H128" s="18"/>
      <c r="I128" s="15"/>
      <c r="J128" s="15"/>
    </row>
    <row r="129" customFormat="false" ht="15" hidden="false" customHeight="false" outlineLevel="0" collapsed="false">
      <c r="A129" s="14" t="str">
        <f aca="false">IF(B129="","",ROW()-1)</f>
        <v/>
      </c>
      <c r="B129" s="16"/>
      <c r="C129" s="14" t="str">
        <f aca="false">IF(B129="","",YEAR(B129))</f>
        <v/>
      </c>
      <c r="D129" s="15"/>
      <c r="E129" s="15"/>
      <c r="F129" s="14" t="str">
        <f aca="false">IF(E129="","",IFERROR(INDEX(카테고리!$B$2:$B$8,MATCH(E129,카테고리!$A$2:$A$8,0)),""))</f>
        <v/>
      </c>
      <c r="G129" s="15"/>
      <c r="H129" s="18"/>
      <c r="I129" s="15"/>
      <c r="J129" s="15"/>
    </row>
    <row r="130" customFormat="false" ht="15" hidden="false" customHeight="false" outlineLevel="0" collapsed="false">
      <c r="A130" s="14" t="str">
        <f aca="false">IF(B130="","",ROW()-1)</f>
        <v/>
      </c>
      <c r="B130" s="16"/>
      <c r="C130" s="14" t="str">
        <f aca="false">IF(B130="","",YEAR(B130))</f>
        <v/>
      </c>
      <c r="D130" s="15"/>
      <c r="E130" s="15"/>
      <c r="F130" s="14" t="str">
        <f aca="false">IF(E130="","",IFERROR(INDEX(카테고리!$B$2:$B$8,MATCH(E130,카테고리!$A$2:$A$8,0)),""))</f>
        <v/>
      </c>
      <c r="G130" s="15"/>
      <c r="H130" s="18"/>
      <c r="I130" s="15"/>
      <c r="J130" s="15"/>
    </row>
    <row r="131" customFormat="false" ht="15" hidden="false" customHeight="false" outlineLevel="0" collapsed="false">
      <c r="A131" s="14" t="str">
        <f aca="false">IF(B131="","",ROW()-1)</f>
        <v/>
      </c>
      <c r="B131" s="16"/>
      <c r="C131" s="14" t="str">
        <f aca="false">IF(B131="","",YEAR(B131))</f>
        <v/>
      </c>
      <c r="D131" s="15"/>
      <c r="E131" s="15"/>
      <c r="F131" s="14" t="str">
        <f aca="false">IF(E131="","",IFERROR(INDEX(카테고리!$B$2:$B$8,MATCH(E131,카테고리!$A$2:$A$8,0)),""))</f>
        <v/>
      </c>
      <c r="G131" s="15"/>
      <c r="H131" s="18"/>
      <c r="I131" s="15"/>
      <c r="J131" s="15"/>
    </row>
    <row r="132" customFormat="false" ht="15" hidden="false" customHeight="false" outlineLevel="0" collapsed="false">
      <c r="A132" s="14" t="str">
        <f aca="false">IF(B132="","",ROW()-1)</f>
        <v/>
      </c>
      <c r="B132" s="16"/>
      <c r="C132" s="14" t="str">
        <f aca="false">IF(B132="","",YEAR(B132))</f>
        <v/>
      </c>
      <c r="D132" s="15"/>
      <c r="E132" s="15"/>
      <c r="F132" s="14" t="str">
        <f aca="false">IF(E132="","",IFERROR(INDEX(카테고리!$B$2:$B$8,MATCH(E132,카테고리!$A$2:$A$8,0)),""))</f>
        <v/>
      </c>
      <c r="G132" s="15"/>
      <c r="H132" s="18"/>
      <c r="I132" s="15"/>
      <c r="J132" s="15"/>
    </row>
    <row r="133" customFormat="false" ht="15" hidden="false" customHeight="false" outlineLevel="0" collapsed="false">
      <c r="A133" s="14" t="str">
        <f aca="false">IF(B133="","",ROW()-1)</f>
        <v/>
      </c>
      <c r="B133" s="16"/>
      <c r="C133" s="14" t="str">
        <f aca="false">IF(B133="","",YEAR(B133))</f>
        <v/>
      </c>
      <c r="D133" s="15"/>
      <c r="E133" s="15"/>
      <c r="F133" s="14" t="str">
        <f aca="false">IF(E133="","",IFERROR(INDEX(카테고리!$B$2:$B$8,MATCH(E133,카테고리!$A$2:$A$8,0)),""))</f>
        <v/>
      </c>
      <c r="G133" s="15"/>
      <c r="H133" s="18"/>
      <c r="I133" s="15"/>
      <c r="J133" s="15"/>
    </row>
    <row r="134" customFormat="false" ht="15" hidden="false" customHeight="false" outlineLevel="0" collapsed="false">
      <c r="A134" s="14" t="str">
        <f aca="false">IF(B134="","",ROW()-1)</f>
        <v/>
      </c>
      <c r="B134" s="16"/>
      <c r="C134" s="14" t="str">
        <f aca="false">IF(B134="","",YEAR(B134))</f>
        <v/>
      </c>
      <c r="D134" s="15"/>
      <c r="E134" s="15"/>
      <c r="F134" s="14" t="str">
        <f aca="false">IF(E134="","",IFERROR(INDEX(카테고리!$B$2:$B$8,MATCH(E134,카테고리!$A$2:$A$8,0)),""))</f>
        <v/>
      </c>
      <c r="G134" s="15"/>
      <c r="H134" s="18"/>
      <c r="I134" s="15"/>
      <c r="J134" s="15"/>
    </row>
    <row r="135" customFormat="false" ht="15" hidden="false" customHeight="false" outlineLevel="0" collapsed="false">
      <c r="A135" s="14" t="str">
        <f aca="false">IF(B135="","",ROW()-1)</f>
        <v/>
      </c>
      <c r="B135" s="16"/>
      <c r="C135" s="14" t="str">
        <f aca="false">IF(B135="","",YEAR(B135))</f>
        <v/>
      </c>
      <c r="D135" s="15"/>
      <c r="E135" s="15"/>
      <c r="F135" s="14" t="str">
        <f aca="false">IF(E135="","",IFERROR(INDEX(카테고리!$B$2:$B$8,MATCH(E135,카테고리!$A$2:$A$8,0)),""))</f>
        <v/>
      </c>
      <c r="G135" s="15"/>
      <c r="H135" s="18"/>
      <c r="I135" s="15"/>
      <c r="J135" s="15"/>
    </row>
    <row r="136" customFormat="false" ht="15" hidden="false" customHeight="false" outlineLevel="0" collapsed="false">
      <c r="A136" s="14" t="str">
        <f aca="false">IF(B136="","",ROW()-1)</f>
        <v/>
      </c>
      <c r="B136" s="16"/>
      <c r="C136" s="14" t="str">
        <f aca="false">IF(B136="","",YEAR(B136))</f>
        <v/>
      </c>
      <c r="D136" s="15"/>
      <c r="E136" s="15"/>
      <c r="F136" s="14" t="str">
        <f aca="false">IF(E136="","",IFERROR(INDEX(카테고리!$B$2:$B$8,MATCH(E136,카테고리!$A$2:$A$8,0)),""))</f>
        <v/>
      </c>
      <c r="G136" s="15"/>
      <c r="H136" s="18"/>
      <c r="I136" s="15"/>
      <c r="J136" s="15"/>
    </row>
    <row r="137" customFormat="false" ht="15" hidden="false" customHeight="false" outlineLevel="0" collapsed="false">
      <c r="A137" s="14" t="str">
        <f aca="false">IF(B137="","",ROW()-1)</f>
        <v/>
      </c>
      <c r="B137" s="16"/>
      <c r="C137" s="14" t="str">
        <f aca="false">IF(B137="","",YEAR(B137))</f>
        <v/>
      </c>
      <c r="D137" s="15"/>
      <c r="E137" s="15"/>
      <c r="F137" s="14" t="str">
        <f aca="false">IF(E137="","",IFERROR(INDEX(카테고리!$B$2:$B$8,MATCH(E137,카테고리!$A$2:$A$8,0)),""))</f>
        <v/>
      </c>
      <c r="G137" s="15"/>
      <c r="H137" s="18"/>
      <c r="I137" s="15"/>
      <c r="J137" s="15"/>
    </row>
    <row r="138" customFormat="false" ht="15" hidden="false" customHeight="false" outlineLevel="0" collapsed="false">
      <c r="A138" s="14" t="str">
        <f aca="false">IF(B138="","",ROW()-1)</f>
        <v/>
      </c>
      <c r="B138" s="16"/>
      <c r="C138" s="14" t="str">
        <f aca="false">IF(B138="","",YEAR(B138))</f>
        <v/>
      </c>
      <c r="D138" s="15"/>
      <c r="E138" s="15"/>
      <c r="F138" s="14" t="str">
        <f aca="false">IF(E138="","",IFERROR(INDEX(카테고리!$B$2:$B$8,MATCH(E138,카테고리!$A$2:$A$8,0)),""))</f>
        <v/>
      </c>
      <c r="G138" s="15"/>
      <c r="H138" s="18"/>
      <c r="I138" s="15"/>
      <c r="J138" s="15"/>
    </row>
    <row r="139" customFormat="false" ht="15" hidden="false" customHeight="false" outlineLevel="0" collapsed="false">
      <c r="A139" s="14" t="str">
        <f aca="false">IF(B139="","",ROW()-1)</f>
        <v/>
      </c>
      <c r="B139" s="16"/>
      <c r="C139" s="14" t="str">
        <f aca="false">IF(B139="","",YEAR(B139))</f>
        <v/>
      </c>
      <c r="D139" s="15"/>
      <c r="E139" s="15"/>
      <c r="F139" s="14" t="str">
        <f aca="false">IF(E139="","",IFERROR(INDEX(카테고리!$B$2:$B$8,MATCH(E139,카테고리!$A$2:$A$8,0)),""))</f>
        <v/>
      </c>
      <c r="G139" s="15"/>
      <c r="H139" s="18"/>
      <c r="I139" s="15"/>
      <c r="J139" s="15"/>
    </row>
    <row r="140" customFormat="false" ht="15" hidden="false" customHeight="false" outlineLevel="0" collapsed="false">
      <c r="A140" s="14" t="str">
        <f aca="false">IF(B140="","",ROW()-1)</f>
        <v/>
      </c>
      <c r="B140" s="16"/>
      <c r="C140" s="14" t="str">
        <f aca="false">IF(B140="","",YEAR(B140))</f>
        <v/>
      </c>
      <c r="D140" s="15"/>
      <c r="E140" s="15"/>
      <c r="F140" s="14" t="str">
        <f aca="false">IF(E140="","",IFERROR(INDEX(카테고리!$B$2:$B$8,MATCH(E140,카테고리!$A$2:$A$8,0)),""))</f>
        <v/>
      </c>
      <c r="G140" s="15"/>
      <c r="H140" s="18"/>
      <c r="I140" s="15"/>
      <c r="J140" s="15"/>
    </row>
    <row r="141" customFormat="false" ht="15" hidden="false" customHeight="false" outlineLevel="0" collapsed="false">
      <c r="A141" s="14" t="str">
        <f aca="false">IF(B141="","",ROW()-1)</f>
        <v/>
      </c>
      <c r="B141" s="16"/>
      <c r="C141" s="14" t="str">
        <f aca="false">IF(B141="","",YEAR(B141))</f>
        <v/>
      </c>
      <c r="D141" s="15"/>
      <c r="E141" s="15"/>
      <c r="F141" s="14" t="str">
        <f aca="false">IF(E141="","",IFERROR(INDEX(카테고리!$B$2:$B$8,MATCH(E141,카테고리!$A$2:$A$8,0)),""))</f>
        <v/>
      </c>
      <c r="G141" s="15"/>
      <c r="H141" s="18"/>
      <c r="I141" s="15"/>
      <c r="J141" s="15"/>
    </row>
    <row r="142" customFormat="false" ht="15" hidden="false" customHeight="false" outlineLevel="0" collapsed="false">
      <c r="A142" s="14" t="str">
        <f aca="false">IF(B142="","",ROW()-1)</f>
        <v/>
      </c>
      <c r="B142" s="16"/>
      <c r="C142" s="14" t="str">
        <f aca="false">IF(B142="","",YEAR(B142))</f>
        <v/>
      </c>
      <c r="D142" s="15"/>
      <c r="E142" s="15"/>
      <c r="F142" s="14" t="str">
        <f aca="false">IF(E142="","",IFERROR(INDEX(카테고리!$B$2:$B$8,MATCH(E142,카테고리!$A$2:$A$8,0)),""))</f>
        <v/>
      </c>
      <c r="G142" s="15"/>
      <c r="H142" s="18"/>
      <c r="I142" s="15"/>
      <c r="J142" s="15"/>
    </row>
    <row r="143" customFormat="false" ht="15" hidden="false" customHeight="false" outlineLevel="0" collapsed="false">
      <c r="A143" s="14" t="str">
        <f aca="false">IF(B143="","",ROW()-1)</f>
        <v/>
      </c>
      <c r="B143" s="16"/>
      <c r="C143" s="14" t="str">
        <f aca="false">IF(B143="","",YEAR(B143))</f>
        <v/>
      </c>
      <c r="D143" s="15"/>
      <c r="E143" s="15"/>
      <c r="F143" s="14" t="str">
        <f aca="false">IF(E143="","",IFERROR(INDEX(카테고리!$B$2:$B$8,MATCH(E143,카테고리!$A$2:$A$8,0)),""))</f>
        <v/>
      </c>
      <c r="G143" s="15"/>
      <c r="H143" s="18"/>
      <c r="I143" s="15"/>
      <c r="J143" s="15"/>
    </row>
    <row r="144" customFormat="false" ht="15" hidden="false" customHeight="false" outlineLevel="0" collapsed="false">
      <c r="A144" s="14" t="str">
        <f aca="false">IF(B144="","",ROW()-1)</f>
        <v/>
      </c>
      <c r="B144" s="16"/>
      <c r="C144" s="14" t="str">
        <f aca="false">IF(B144="","",YEAR(B144))</f>
        <v/>
      </c>
      <c r="D144" s="15"/>
      <c r="E144" s="15"/>
      <c r="F144" s="14" t="str">
        <f aca="false">IF(E144="","",IFERROR(INDEX(카테고리!$B$2:$B$8,MATCH(E144,카테고리!$A$2:$A$8,0)),""))</f>
        <v/>
      </c>
      <c r="G144" s="15"/>
      <c r="H144" s="18"/>
      <c r="I144" s="15"/>
      <c r="J144" s="15"/>
    </row>
    <row r="145" customFormat="false" ht="15" hidden="false" customHeight="false" outlineLevel="0" collapsed="false">
      <c r="A145" s="14" t="str">
        <f aca="false">IF(B145="","",ROW()-1)</f>
        <v/>
      </c>
      <c r="B145" s="16"/>
      <c r="C145" s="14" t="str">
        <f aca="false">IF(B145="","",YEAR(B145))</f>
        <v/>
      </c>
      <c r="D145" s="15"/>
      <c r="E145" s="15"/>
      <c r="F145" s="14" t="str">
        <f aca="false">IF(E145="","",IFERROR(INDEX(카테고리!$B$2:$B$8,MATCH(E145,카테고리!$A$2:$A$8,0)),""))</f>
        <v/>
      </c>
      <c r="G145" s="15"/>
      <c r="H145" s="18"/>
      <c r="I145" s="15"/>
      <c r="J145" s="15"/>
    </row>
    <row r="146" customFormat="false" ht="15" hidden="false" customHeight="false" outlineLevel="0" collapsed="false">
      <c r="A146" s="14" t="str">
        <f aca="false">IF(B146="","",ROW()-1)</f>
        <v/>
      </c>
      <c r="B146" s="16"/>
      <c r="C146" s="14" t="str">
        <f aca="false">IF(B146="","",YEAR(B146))</f>
        <v/>
      </c>
      <c r="D146" s="15"/>
      <c r="E146" s="15"/>
      <c r="F146" s="14" t="str">
        <f aca="false">IF(E146="","",IFERROR(INDEX(카테고리!$B$2:$B$8,MATCH(E146,카테고리!$A$2:$A$8,0)),""))</f>
        <v/>
      </c>
      <c r="G146" s="15"/>
      <c r="H146" s="18"/>
      <c r="I146" s="15"/>
      <c r="J146" s="15"/>
    </row>
    <row r="147" customFormat="false" ht="15" hidden="false" customHeight="false" outlineLevel="0" collapsed="false">
      <c r="A147" s="14" t="str">
        <f aca="false">IF(B147="","",ROW()-1)</f>
        <v/>
      </c>
      <c r="B147" s="16"/>
      <c r="C147" s="14" t="str">
        <f aca="false">IF(B147="","",YEAR(B147))</f>
        <v/>
      </c>
      <c r="D147" s="15"/>
      <c r="E147" s="15"/>
      <c r="F147" s="14" t="str">
        <f aca="false">IF(E147="","",IFERROR(INDEX(카테고리!$B$2:$B$8,MATCH(E147,카테고리!$A$2:$A$8,0)),""))</f>
        <v/>
      </c>
      <c r="G147" s="15"/>
      <c r="H147" s="18"/>
      <c r="I147" s="15"/>
      <c r="J147" s="15"/>
    </row>
    <row r="148" customFormat="false" ht="15" hidden="false" customHeight="false" outlineLevel="0" collapsed="false">
      <c r="A148" s="14" t="str">
        <f aca="false">IF(B148="","",ROW()-1)</f>
        <v/>
      </c>
      <c r="B148" s="16"/>
      <c r="C148" s="14" t="str">
        <f aca="false">IF(B148="","",YEAR(B148))</f>
        <v/>
      </c>
      <c r="D148" s="15"/>
      <c r="E148" s="15"/>
      <c r="F148" s="14" t="str">
        <f aca="false">IF(E148="","",IFERROR(INDEX(카테고리!$B$2:$B$8,MATCH(E148,카테고리!$A$2:$A$8,0)),""))</f>
        <v/>
      </c>
      <c r="G148" s="15"/>
      <c r="H148" s="18"/>
      <c r="I148" s="15"/>
      <c r="J148" s="15"/>
    </row>
    <row r="149" customFormat="false" ht="15" hidden="false" customHeight="false" outlineLevel="0" collapsed="false">
      <c r="A149" s="14" t="str">
        <f aca="false">IF(B149="","",ROW()-1)</f>
        <v/>
      </c>
      <c r="B149" s="16"/>
      <c r="C149" s="14" t="str">
        <f aca="false">IF(B149="","",YEAR(B149))</f>
        <v/>
      </c>
      <c r="D149" s="15"/>
      <c r="E149" s="15"/>
      <c r="F149" s="14" t="str">
        <f aca="false">IF(E149="","",IFERROR(INDEX(카테고리!$B$2:$B$8,MATCH(E149,카테고리!$A$2:$A$8,0)),""))</f>
        <v/>
      </c>
      <c r="G149" s="15"/>
      <c r="H149" s="18"/>
      <c r="I149" s="15"/>
      <c r="J149" s="15"/>
    </row>
    <row r="150" customFormat="false" ht="15" hidden="false" customHeight="false" outlineLevel="0" collapsed="false">
      <c r="A150" s="14" t="str">
        <f aca="false">IF(B150="","",ROW()-1)</f>
        <v/>
      </c>
      <c r="B150" s="16"/>
      <c r="C150" s="14" t="str">
        <f aca="false">IF(B150="","",YEAR(B150))</f>
        <v/>
      </c>
      <c r="D150" s="15"/>
      <c r="E150" s="15"/>
      <c r="F150" s="14" t="str">
        <f aca="false">IF(E150="","",IFERROR(INDEX(카테고리!$B$2:$B$8,MATCH(E150,카테고리!$A$2:$A$8,0)),""))</f>
        <v/>
      </c>
      <c r="G150" s="15"/>
      <c r="H150" s="18"/>
      <c r="I150" s="15"/>
      <c r="J150" s="15"/>
    </row>
    <row r="151" customFormat="false" ht="15" hidden="false" customHeight="false" outlineLevel="0" collapsed="false">
      <c r="A151" s="14" t="str">
        <f aca="false">IF(B151="","",ROW()-1)</f>
        <v/>
      </c>
      <c r="B151" s="16"/>
      <c r="C151" s="14" t="str">
        <f aca="false">IF(B151="","",YEAR(B151))</f>
        <v/>
      </c>
      <c r="D151" s="15"/>
      <c r="E151" s="15"/>
      <c r="F151" s="14" t="str">
        <f aca="false">IF(E151="","",IFERROR(INDEX(카테고리!$B$2:$B$8,MATCH(E151,카테고리!$A$2:$A$8,0)),""))</f>
        <v/>
      </c>
      <c r="G151" s="15"/>
      <c r="H151" s="18"/>
      <c r="I151" s="15"/>
      <c r="J151" s="15"/>
    </row>
    <row r="152" customFormat="false" ht="15" hidden="false" customHeight="false" outlineLevel="0" collapsed="false">
      <c r="A152" s="14" t="str">
        <f aca="false">IF(B152="","",ROW()-1)</f>
        <v/>
      </c>
      <c r="B152" s="16"/>
      <c r="C152" s="14" t="str">
        <f aca="false">IF(B152="","",YEAR(B152))</f>
        <v/>
      </c>
      <c r="D152" s="15"/>
      <c r="E152" s="15"/>
      <c r="F152" s="14" t="str">
        <f aca="false">IF(E152="","",IFERROR(INDEX(카테고리!$B$2:$B$8,MATCH(E152,카테고리!$A$2:$A$8,0)),""))</f>
        <v/>
      </c>
      <c r="G152" s="15"/>
      <c r="H152" s="18"/>
      <c r="I152" s="15"/>
      <c r="J152" s="15"/>
    </row>
    <row r="153" customFormat="false" ht="15" hidden="false" customHeight="false" outlineLevel="0" collapsed="false">
      <c r="A153" s="14" t="str">
        <f aca="false">IF(B153="","",ROW()-1)</f>
        <v/>
      </c>
      <c r="B153" s="16"/>
      <c r="C153" s="14" t="str">
        <f aca="false">IF(B153="","",YEAR(B153))</f>
        <v/>
      </c>
      <c r="D153" s="15"/>
      <c r="E153" s="15"/>
      <c r="F153" s="14" t="str">
        <f aca="false">IF(E153="","",IFERROR(INDEX(카테고리!$B$2:$B$8,MATCH(E153,카테고리!$A$2:$A$8,0)),""))</f>
        <v/>
      </c>
      <c r="G153" s="15"/>
      <c r="H153" s="18"/>
      <c r="I153" s="15"/>
      <c r="J153" s="15"/>
    </row>
    <row r="154" customFormat="false" ht="15" hidden="false" customHeight="false" outlineLevel="0" collapsed="false">
      <c r="A154" s="14" t="str">
        <f aca="false">IF(B154="","",ROW()-1)</f>
        <v/>
      </c>
      <c r="B154" s="16"/>
      <c r="C154" s="14" t="str">
        <f aca="false">IF(B154="","",YEAR(B154))</f>
        <v/>
      </c>
      <c r="D154" s="15"/>
      <c r="E154" s="15"/>
      <c r="F154" s="14" t="str">
        <f aca="false">IF(E154="","",IFERROR(INDEX(카테고리!$B$2:$B$8,MATCH(E154,카테고리!$A$2:$A$8,0)),""))</f>
        <v/>
      </c>
      <c r="G154" s="15"/>
      <c r="H154" s="18"/>
      <c r="I154" s="15"/>
      <c r="J154" s="15"/>
    </row>
    <row r="155" customFormat="false" ht="15" hidden="false" customHeight="false" outlineLevel="0" collapsed="false">
      <c r="A155" s="14" t="str">
        <f aca="false">IF(B155="","",ROW()-1)</f>
        <v/>
      </c>
      <c r="B155" s="16"/>
      <c r="C155" s="14" t="str">
        <f aca="false">IF(B155="","",YEAR(B155))</f>
        <v/>
      </c>
      <c r="D155" s="15"/>
      <c r="E155" s="15"/>
      <c r="F155" s="14" t="str">
        <f aca="false">IF(E155="","",IFERROR(INDEX(카테고리!$B$2:$B$8,MATCH(E155,카테고리!$A$2:$A$8,0)),""))</f>
        <v/>
      </c>
      <c r="G155" s="15"/>
      <c r="H155" s="18"/>
      <c r="I155" s="15"/>
      <c r="J155" s="15"/>
    </row>
    <row r="156" customFormat="false" ht="15" hidden="false" customHeight="false" outlineLevel="0" collapsed="false">
      <c r="A156" s="14" t="str">
        <f aca="false">IF(B156="","",ROW()-1)</f>
        <v/>
      </c>
      <c r="B156" s="16"/>
      <c r="C156" s="14" t="str">
        <f aca="false">IF(B156="","",YEAR(B156))</f>
        <v/>
      </c>
      <c r="D156" s="15"/>
      <c r="E156" s="15"/>
      <c r="F156" s="14" t="str">
        <f aca="false">IF(E156="","",IFERROR(INDEX(카테고리!$B$2:$B$8,MATCH(E156,카테고리!$A$2:$A$8,0)),""))</f>
        <v/>
      </c>
      <c r="G156" s="15"/>
      <c r="H156" s="18"/>
      <c r="I156" s="15"/>
      <c r="J156" s="15"/>
    </row>
    <row r="157" customFormat="false" ht="15" hidden="false" customHeight="false" outlineLevel="0" collapsed="false">
      <c r="A157" s="14" t="str">
        <f aca="false">IF(B157="","",ROW()-1)</f>
        <v/>
      </c>
      <c r="B157" s="16"/>
      <c r="C157" s="14" t="str">
        <f aca="false">IF(B157="","",YEAR(B157))</f>
        <v/>
      </c>
      <c r="D157" s="15"/>
      <c r="E157" s="15"/>
      <c r="F157" s="14" t="str">
        <f aca="false">IF(E157="","",IFERROR(INDEX(카테고리!$B$2:$B$8,MATCH(E157,카테고리!$A$2:$A$8,0)),""))</f>
        <v/>
      </c>
      <c r="G157" s="15"/>
      <c r="H157" s="18"/>
      <c r="I157" s="15"/>
      <c r="J157" s="15"/>
    </row>
    <row r="158" customFormat="false" ht="15" hidden="false" customHeight="false" outlineLevel="0" collapsed="false">
      <c r="A158" s="14" t="str">
        <f aca="false">IF(B158="","",ROW()-1)</f>
        <v/>
      </c>
      <c r="B158" s="16"/>
      <c r="C158" s="14" t="str">
        <f aca="false">IF(B158="","",YEAR(B158))</f>
        <v/>
      </c>
      <c r="D158" s="15"/>
      <c r="E158" s="15"/>
      <c r="F158" s="14" t="str">
        <f aca="false">IF(E158="","",IFERROR(INDEX(카테고리!$B$2:$B$8,MATCH(E158,카테고리!$A$2:$A$8,0)),""))</f>
        <v/>
      </c>
      <c r="G158" s="15"/>
      <c r="H158" s="18"/>
      <c r="I158" s="15"/>
      <c r="J158" s="15"/>
    </row>
    <row r="159" customFormat="false" ht="15" hidden="false" customHeight="false" outlineLevel="0" collapsed="false">
      <c r="A159" s="14" t="str">
        <f aca="false">IF(B159="","",ROW()-1)</f>
        <v/>
      </c>
      <c r="B159" s="16"/>
      <c r="C159" s="14" t="str">
        <f aca="false">IF(B159="","",YEAR(B159))</f>
        <v/>
      </c>
      <c r="D159" s="15"/>
      <c r="E159" s="15"/>
      <c r="F159" s="14" t="str">
        <f aca="false">IF(E159="","",IFERROR(INDEX(카테고리!$B$2:$B$8,MATCH(E159,카테고리!$A$2:$A$8,0)),""))</f>
        <v/>
      </c>
      <c r="G159" s="15"/>
      <c r="H159" s="18"/>
      <c r="I159" s="15"/>
      <c r="J159" s="15"/>
    </row>
    <row r="160" customFormat="false" ht="15" hidden="false" customHeight="false" outlineLevel="0" collapsed="false">
      <c r="A160" s="14" t="str">
        <f aca="false">IF(B160="","",ROW()-1)</f>
        <v/>
      </c>
      <c r="B160" s="16"/>
      <c r="C160" s="14" t="str">
        <f aca="false">IF(B160="","",YEAR(B160))</f>
        <v/>
      </c>
      <c r="D160" s="15"/>
      <c r="E160" s="15"/>
      <c r="F160" s="14" t="str">
        <f aca="false">IF(E160="","",IFERROR(INDEX(카테고리!$B$2:$B$8,MATCH(E160,카테고리!$A$2:$A$8,0)),""))</f>
        <v/>
      </c>
      <c r="G160" s="15"/>
      <c r="H160" s="18"/>
      <c r="I160" s="15"/>
      <c r="J160" s="15"/>
    </row>
    <row r="161" customFormat="false" ht="15" hidden="false" customHeight="false" outlineLevel="0" collapsed="false">
      <c r="A161" s="14" t="str">
        <f aca="false">IF(B161="","",ROW()-1)</f>
        <v/>
      </c>
      <c r="B161" s="16"/>
      <c r="C161" s="14" t="str">
        <f aca="false">IF(B161="","",YEAR(B161))</f>
        <v/>
      </c>
      <c r="D161" s="15"/>
      <c r="E161" s="15"/>
      <c r="F161" s="14" t="str">
        <f aca="false">IF(E161="","",IFERROR(INDEX(카테고리!$B$2:$B$8,MATCH(E161,카테고리!$A$2:$A$8,0)),""))</f>
        <v/>
      </c>
      <c r="G161" s="15"/>
      <c r="H161" s="18"/>
      <c r="I161" s="15"/>
      <c r="J161" s="15"/>
    </row>
    <row r="162" customFormat="false" ht="15" hidden="false" customHeight="false" outlineLevel="0" collapsed="false">
      <c r="A162" s="14" t="str">
        <f aca="false">IF(B162="","",ROW()-1)</f>
        <v/>
      </c>
      <c r="B162" s="16"/>
      <c r="C162" s="14" t="str">
        <f aca="false">IF(B162="","",YEAR(B162))</f>
        <v/>
      </c>
      <c r="D162" s="15"/>
      <c r="E162" s="15"/>
      <c r="F162" s="14" t="str">
        <f aca="false">IF(E162="","",IFERROR(INDEX(카테고리!$B$2:$B$8,MATCH(E162,카테고리!$A$2:$A$8,0)),""))</f>
        <v/>
      </c>
      <c r="G162" s="15"/>
      <c r="H162" s="18"/>
      <c r="I162" s="15"/>
      <c r="J162" s="15"/>
    </row>
    <row r="163" customFormat="false" ht="15" hidden="false" customHeight="false" outlineLevel="0" collapsed="false">
      <c r="A163" s="14" t="str">
        <f aca="false">IF(B163="","",ROW()-1)</f>
        <v/>
      </c>
      <c r="B163" s="16"/>
      <c r="C163" s="14" t="str">
        <f aca="false">IF(B163="","",YEAR(B163))</f>
        <v/>
      </c>
      <c r="D163" s="15"/>
      <c r="E163" s="15"/>
      <c r="F163" s="14" t="str">
        <f aca="false">IF(E163="","",IFERROR(INDEX(카테고리!$B$2:$B$8,MATCH(E163,카테고리!$A$2:$A$8,0)),""))</f>
        <v/>
      </c>
      <c r="G163" s="15"/>
      <c r="H163" s="18"/>
      <c r="I163" s="15"/>
      <c r="J163" s="15"/>
    </row>
    <row r="164" customFormat="false" ht="15" hidden="false" customHeight="false" outlineLevel="0" collapsed="false">
      <c r="A164" s="14" t="str">
        <f aca="false">IF(B164="","",ROW()-1)</f>
        <v/>
      </c>
      <c r="B164" s="16"/>
      <c r="C164" s="14" t="str">
        <f aca="false">IF(B164="","",YEAR(B164))</f>
        <v/>
      </c>
      <c r="D164" s="15"/>
      <c r="E164" s="15"/>
      <c r="F164" s="14" t="str">
        <f aca="false">IF(E164="","",IFERROR(INDEX(카테고리!$B$2:$B$8,MATCH(E164,카테고리!$A$2:$A$8,0)),""))</f>
        <v/>
      </c>
      <c r="G164" s="15"/>
      <c r="H164" s="18"/>
      <c r="I164" s="15"/>
      <c r="J164" s="15"/>
    </row>
    <row r="165" customFormat="false" ht="15" hidden="false" customHeight="false" outlineLevel="0" collapsed="false">
      <c r="A165" s="14" t="str">
        <f aca="false">IF(B165="","",ROW()-1)</f>
        <v/>
      </c>
      <c r="B165" s="16"/>
      <c r="C165" s="14" t="str">
        <f aca="false">IF(B165="","",YEAR(B165))</f>
        <v/>
      </c>
      <c r="D165" s="15"/>
      <c r="E165" s="15"/>
      <c r="F165" s="14" t="str">
        <f aca="false">IF(E165="","",IFERROR(INDEX(카테고리!$B$2:$B$8,MATCH(E165,카테고리!$A$2:$A$8,0)),""))</f>
        <v/>
      </c>
      <c r="G165" s="15"/>
      <c r="H165" s="18"/>
      <c r="I165" s="15"/>
      <c r="J165" s="15"/>
    </row>
    <row r="166" customFormat="false" ht="15" hidden="false" customHeight="false" outlineLevel="0" collapsed="false">
      <c r="A166" s="14" t="str">
        <f aca="false">IF(B166="","",ROW()-1)</f>
        <v/>
      </c>
      <c r="B166" s="16"/>
      <c r="C166" s="14" t="str">
        <f aca="false">IF(B166="","",YEAR(B166))</f>
        <v/>
      </c>
      <c r="D166" s="15"/>
      <c r="E166" s="15"/>
      <c r="F166" s="14" t="str">
        <f aca="false">IF(E166="","",IFERROR(INDEX(카테고리!$B$2:$B$8,MATCH(E166,카테고리!$A$2:$A$8,0)),""))</f>
        <v/>
      </c>
      <c r="G166" s="15"/>
      <c r="H166" s="18"/>
      <c r="I166" s="15"/>
      <c r="J166" s="15"/>
    </row>
    <row r="167" customFormat="false" ht="15" hidden="false" customHeight="false" outlineLevel="0" collapsed="false">
      <c r="A167" s="14" t="str">
        <f aca="false">IF(B167="","",ROW()-1)</f>
        <v/>
      </c>
      <c r="B167" s="16"/>
      <c r="C167" s="14" t="str">
        <f aca="false">IF(B167="","",YEAR(B167))</f>
        <v/>
      </c>
      <c r="D167" s="15"/>
      <c r="E167" s="15"/>
      <c r="F167" s="14" t="str">
        <f aca="false">IF(E167="","",IFERROR(INDEX(카테고리!$B$2:$B$8,MATCH(E167,카테고리!$A$2:$A$8,0)),""))</f>
        <v/>
      </c>
      <c r="G167" s="15"/>
      <c r="H167" s="18"/>
      <c r="I167" s="15"/>
      <c r="J167" s="15"/>
    </row>
    <row r="168" customFormat="false" ht="15" hidden="false" customHeight="false" outlineLevel="0" collapsed="false">
      <c r="A168" s="14" t="str">
        <f aca="false">IF(B168="","",ROW()-1)</f>
        <v/>
      </c>
      <c r="B168" s="16"/>
      <c r="C168" s="14" t="str">
        <f aca="false">IF(B168="","",YEAR(B168))</f>
        <v/>
      </c>
      <c r="D168" s="15"/>
      <c r="E168" s="15"/>
      <c r="F168" s="14" t="str">
        <f aca="false">IF(E168="","",IFERROR(INDEX(카테고리!$B$2:$B$8,MATCH(E168,카테고리!$A$2:$A$8,0)),""))</f>
        <v/>
      </c>
      <c r="G168" s="15"/>
      <c r="H168" s="18"/>
      <c r="I168" s="15"/>
      <c r="J168" s="15"/>
    </row>
    <row r="169" customFormat="false" ht="15" hidden="false" customHeight="false" outlineLevel="0" collapsed="false">
      <c r="A169" s="14" t="str">
        <f aca="false">IF(B169="","",ROW()-1)</f>
        <v/>
      </c>
      <c r="B169" s="16"/>
      <c r="C169" s="14" t="str">
        <f aca="false">IF(B169="","",YEAR(B169))</f>
        <v/>
      </c>
      <c r="D169" s="15"/>
      <c r="E169" s="15"/>
      <c r="F169" s="14" t="str">
        <f aca="false">IF(E169="","",IFERROR(INDEX(카테고리!$B$2:$B$8,MATCH(E169,카테고리!$A$2:$A$8,0)),""))</f>
        <v/>
      </c>
      <c r="G169" s="15"/>
      <c r="H169" s="18"/>
      <c r="I169" s="15"/>
      <c r="J169" s="15"/>
    </row>
    <row r="170" customFormat="false" ht="15" hidden="false" customHeight="false" outlineLevel="0" collapsed="false">
      <c r="A170" s="14" t="str">
        <f aca="false">IF(B170="","",ROW()-1)</f>
        <v/>
      </c>
      <c r="B170" s="16"/>
      <c r="C170" s="14" t="str">
        <f aca="false">IF(B170="","",YEAR(B170))</f>
        <v/>
      </c>
      <c r="D170" s="15"/>
      <c r="E170" s="15"/>
      <c r="F170" s="14" t="str">
        <f aca="false">IF(E170="","",IFERROR(INDEX(카테고리!$B$2:$B$8,MATCH(E170,카테고리!$A$2:$A$8,0)),""))</f>
        <v/>
      </c>
      <c r="G170" s="15"/>
      <c r="H170" s="18"/>
      <c r="I170" s="15"/>
      <c r="J170" s="15"/>
    </row>
    <row r="171" customFormat="false" ht="15" hidden="false" customHeight="false" outlineLevel="0" collapsed="false">
      <c r="A171" s="14" t="str">
        <f aca="false">IF(B171="","",ROW()-1)</f>
        <v/>
      </c>
      <c r="B171" s="16"/>
      <c r="C171" s="14" t="str">
        <f aca="false">IF(B171="","",YEAR(B171))</f>
        <v/>
      </c>
      <c r="D171" s="15"/>
      <c r="E171" s="15"/>
      <c r="F171" s="14" t="str">
        <f aca="false">IF(E171="","",IFERROR(INDEX(카테고리!$B$2:$B$8,MATCH(E171,카테고리!$A$2:$A$8,0)),""))</f>
        <v/>
      </c>
      <c r="G171" s="15"/>
      <c r="H171" s="18"/>
      <c r="I171" s="15"/>
      <c r="J171" s="15"/>
    </row>
    <row r="172" customFormat="false" ht="15" hidden="false" customHeight="false" outlineLevel="0" collapsed="false">
      <c r="A172" s="14" t="str">
        <f aca="false">IF(B172="","",ROW()-1)</f>
        <v/>
      </c>
      <c r="B172" s="16"/>
      <c r="C172" s="14" t="str">
        <f aca="false">IF(B172="","",YEAR(B172))</f>
        <v/>
      </c>
      <c r="D172" s="15"/>
      <c r="E172" s="15"/>
      <c r="F172" s="14" t="str">
        <f aca="false">IF(E172="","",IFERROR(INDEX(카테고리!$B$2:$B$8,MATCH(E172,카테고리!$A$2:$A$8,0)),""))</f>
        <v/>
      </c>
      <c r="G172" s="15"/>
      <c r="H172" s="18"/>
      <c r="I172" s="15"/>
      <c r="J172" s="15"/>
    </row>
    <row r="173" customFormat="false" ht="15" hidden="false" customHeight="false" outlineLevel="0" collapsed="false">
      <c r="A173" s="14" t="str">
        <f aca="false">IF(B173="","",ROW()-1)</f>
        <v/>
      </c>
      <c r="B173" s="16"/>
      <c r="C173" s="14" t="str">
        <f aca="false">IF(B173="","",YEAR(B173))</f>
        <v/>
      </c>
      <c r="D173" s="15"/>
      <c r="E173" s="15"/>
      <c r="F173" s="14" t="str">
        <f aca="false">IF(E173="","",IFERROR(INDEX(카테고리!$B$2:$B$8,MATCH(E173,카테고리!$A$2:$A$8,0)),""))</f>
        <v/>
      </c>
      <c r="G173" s="15"/>
      <c r="H173" s="18"/>
      <c r="I173" s="15"/>
      <c r="J173" s="15"/>
    </row>
    <row r="174" customFormat="false" ht="15" hidden="false" customHeight="false" outlineLevel="0" collapsed="false">
      <c r="A174" s="14" t="str">
        <f aca="false">IF(B174="","",ROW()-1)</f>
        <v/>
      </c>
      <c r="B174" s="16"/>
      <c r="C174" s="14" t="str">
        <f aca="false">IF(B174="","",YEAR(B174))</f>
        <v/>
      </c>
      <c r="D174" s="15"/>
      <c r="E174" s="15"/>
      <c r="F174" s="14" t="str">
        <f aca="false">IF(E174="","",IFERROR(INDEX(카테고리!$B$2:$B$8,MATCH(E174,카테고리!$A$2:$A$8,0)),""))</f>
        <v/>
      </c>
      <c r="G174" s="15"/>
      <c r="H174" s="18"/>
      <c r="I174" s="15"/>
      <c r="J174" s="15"/>
    </row>
    <row r="175" customFormat="false" ht="15" hidden="false" customHeight="false" outlineLevel="0" collapsed="false">
      <c r="A175" s="14" t="str">
        <f aca="false">IF(B175="","",ROW()-1)</f>
        <v/>
      </c>
      <c r="B175" s="16"/>
      <c r="C175" s="14" t="str">
        <f aca="false">IF(B175="","",YEAR(B175))</f>
        <v/>
      </c>
      <c r="D175" s="15"/>
      <c r="E175" s="15"/>
      <c r="F175" s="14" t="str">
        <f aca="false">IF(E175="","",IFERROR(INDEX(카테고리!$B$2:$B$8,MATCH(E175,카테고리!$A$2:$A$8,0)),""))</f>
        <v/>
      </c>
      <c r="G175" s="15"/>
      <c r="H175" s="18"/>
      <c r="I175" s="15"/>
      <c r="J175" s="15"/>
    </row>
    <row r="176" customFormat="false" ht="15" hidden="false" customHeight="false" outlineLevel="0" collapsed="false">
      <c r="A176" s="14" t="str">
        <f aca="false">IF(B176="","",ROW()-1)</f>
        <v/>
      </c>
      <c r="B176" s="16"/>
      <c r="C176" s="14" t="str">
        <f aca="false">IF(B176="","",YEAR(B176))</f>
        <v/>
      </c>
      <c r="D176" s="15"/>
      <c r="E176" s="15"/>
      <c r="F176" s="14" t="str">
        <f aca="false">IF(E176="","",IFERROR(INDEX(카테고리!$B$2:$B$8,MATCH(E176,카테고리!$A$2:$A$8,0)),""))</f>
        <v/>
      </c>
      <c r="G176" s="15"/>
      <c r="H176" s="18"/>
      <c r="I176" s="15"/>
      <c r="J176" s="15"/>
    </row>
    <row r="177" customFormat="false" ht="15" hidden="false" customHeight="false" outlineLevel="0" collapsed="false">
      <c r="A177" s="14" t="str">
        <f aca="false">IF(B177="","",ROW()-1)</f>
        <v/>
      </c>
      <c r="B177" s="16"/>
      <c r="C177" s="14" t="str">
        <f aca="false">IF(B177="","",YEAR(B177))</f>
        <v/>
      </c>
      <c r="D177" s="15"/>
      <c r="E177" s="15"/>
      <c r="F177" s="14" t="str">
        <f aca="false">IF(E177="","",IFERROR(INDEX(카테고리!$B$2:$B$8,MATCH(E177,카테고리!$A$2:$A$8,0)),""))</f>
        <v/>
      </c>
      <c r="G177" s="15"/>
      <c r="H177" s="18"/>
      <c r="I177" s="15"/>
      <c r="J177" s="15"/>
    </row>
    <row r="178" customFormat="false" ht="15" hidden="false" customHeight="false" outlineLevel="0" collapsed="false">
      <c r="A178" s="14" t="str">
        <f aca="false">IF(B178="","",ROW()-1)</f>
        <v/>
      </c>
      <c r="B178" s="16"/>
      <c r="C178" s="14" t="str">
        <f aca="false">IF(B178="","",YEAR(B178))</f>
        <v/>
      </c>
      <c r="D178" s="15"/>
      <c r="E178" s="15"/>
      <c r="F178" s="14" t="str">
        <f aca="false">IF(E178="","",IFERROR(INDEX(카테고리!$B$2:$B$8,MATCH(E178,카테고리!$A$2:$A$8,0)),""))</f>
        <v/>
      </c>
      <c r="G178" s="15"/>
      <c r="H178" s="18"/>
      <c r="I178" s="15"/>
      <c r="J178" s="15"/>
    </row>
    <row r="179" customFormat="false" ht="15" hidden="false" customHeight="false" outlineLevel="0" collapsed="false">
      <c r="A179" s="14" t="str">
        <f aca="false">IF(B179="","",ROW()-1)</f>
        <v/>
      </c>
      <c r="B179" s="16"/>
      <c r="C179" s="14" t="str">
        <f aca="false">IF(B179="","",YEAR(B179))</f>
        <v/>
      </c>
      <c r="D179" s="15"/>
      <c r="E179" s="15"/>
      <c r="F179" s="14" t="str">
        <f aca="false">IF(E179="","",IFERROR(INDEX(카테고리!$B$2:$B$8,MATCH(E179,카테고리!$A$2:$A$8,0)),""))</f>
        <v/>
      </c>
      <c r="G179" s="15"/>
      <c r="H179" s="18"/>
      <c r="I179" s="15"/>
      <c r="J179" s="15"/>
    </row>
    <row r="180" customFormat="false" ht="15" hidden="false" customHeight="false" outlineLevel="0" collapsed="false">
      <c r="A180" s="14" t="str">
        <f aca="false">IF(B180="","",ROW()-1)</f>
        <v/>
      </c>
      <c r="B180" s="16"/>
      <c r="C180" s="14" t="str">
        <f aca="false">IF(B180="","",YEAR(B180))</f>
        <v/>
      </c>
      <c r="D180" s="15"/>
      <c r="E180" s="15"/>
      <c r="F180" s="14" t="str">
        <f aca="false">IF(E180="","",IFERROR(INDEX(카테고리!$B$2:$B$8,MATCH(E180,카테고리!$A$2:$A$8,0)),""))</f>
        <v/>
      </c>
      <c r="G180" s="15"/>
      <c r="H180" s="18"/>
      <c r="I180" s="15"/>
      <c r="J180" s="15"/>
    </row>
    <row r="181" customFormat="false" ht="15" hidden="false" customHeight="false" outlineLevel="0" collapsed="false">
      <c r="A181" s="14" t="str">
        <f aca="false">IF(B181="","",ROW()-1)</f>
        <v/>
      </c>
      <c r="B181" s="16"/>
      <c r="C181" s="14" t="str">
        <f aca="false">IF(B181="","",YEAR(B181))</f>
        <v/>
      </c>
      <c r="D181" s="15"/>
      <c r="E181" s="15"/>
      <c r="F181" s="14" t="str">
        <f aca="false">IF(E181="","",IFERROR(INDEX(카테고리!$B$2:$B$8,MATCH(E181,카테고리!$A$2:$A$8,0)),""))</f>
        <v/>
      </c>
      <c r="G181" s="15"/>
      <c r="H181" s="18"/>
      <c r="I181" s="15"/>
      <c r="J181" s="15"/>
    </row>
    <row r="182" customFormat="false" ht="15" hidden="false" customHeight="false" outlineLevel="0" collapsed="false">
      <c r="A182" s="14" t="str">
        <f aca="false">IF(B182="","",ROW()-1)</f>
        <v/>
      </c>
      <c r="B182" s="16"/>
      <c r="C182" s="14" t="str">
        <f aca="false">IF(B182="","",YEAR(B182))</f>
        <v/>
      </c>
      <c r="D182" s="15"/>
      <c r="E182" s="15"/>
      <c r="F182" s="14" t="str">
        <f aca="false">IF(E182="","",IFERROR(INDEX(카테고리!$B$2:$B$8,MATCH(E182,카테고리!$A$2:$A$8,0)),""))</f>
        <v/>
      </c>
      <c r="G182" s="15"/>
      <c r="H182" s="18"/>
      <c r="I182" s="15"/>
      <c r="J182" s="15"/>
    </row>
    <row r="183" customFormat="false" ht="15" hidden="false" customHeight="false" outlineLevel="0" collapsed="false">
      <c r="A183" s="14" t="str">
        <f aca="false">IF(B183="","",ROW()-1)</f>
        <v/>
      </c>
      <c r="B183" s="16"/>
      <c r="C183" s="14" t="str">
        <f aca="false">IF(B183="","",YEAR(B183))</f>
        <v/>
      </c>
      <c r="D183" s="15"/>
      <c r="E183" s="15"/>
      <c r="F183" s="14" t="str">
        <f aca="false">IF(E183="","",IFERROR(INDEX(카테고리!$B$2:$B$8,MATCH(E183,카테고리!$A$2:$A$8,0)),""))</f>
        <v/>
      </c>
      <c r="G183" s="15"/>
      <c r="H183" s="18"/>
      <c r="I183" s="15"/>
      <c r="J183" s="15"/>
    </row>
    <row r="184" customFormat="false" ht="15" hidden="false" customHeight="false" outlineLevel="0" collapsed="false">
      <c r="A184" s="14" t="str">
        <f aca="false">IF(B184="","",ROW()-1)</f>
        <v/>
      </c>
      <c r="B184" s="16"/>
      <c r="C184" s="14" t="str">
        <f aca="false">IF(B184="","",YEAR(B184))</f>
        <v/>
      </c>
      <c r="D184" s="15"/>
      <c r="E184" s="15"/>
      <c r="F184" s="14" t="str">
        <f aca="false">IF(E184="","",IFERROR(INDEX(카테고리!$B$2:$B$8,MATCH(E184,카테고리!$A$2:$A$8,0)),""))</f>
        <v/>
      </c>
      <c r="G184" s="15"/>
      <c r="H184" s="18"/>
      <c r="I184" s="15"/>
      <c r="J184" s="15"/>
    </row>
    <row r="185" customFormat="false" ht="15" hidden="false" customHeight="false" outlineLevel="0" collapsed="false">
      <c r="A185" s="14" t="str">
        <f aca="false">IF(B185="","",ROW()-1)</f>
        <v/>
      </c>
      <c r="B185" s="16"/>
      <c r="C185" s="14" t="str">
        <f aca="false">IF(B185="","",YEAR(B185))</f>
        <v/>
      </c>
      <c r="D185" s="15"/>
      <c r="E185" s="15"/>
      <c r="F185" s="14" t="str">
        <f aca="false">IF(E185="","",IFERROR(INDEX(카테고리!$B$2:$B$8,MATCH(E185,카테고리!$A$2:$A$8,0)),""))</f>
        <v/>
      </c>
      <c r="G185" s="15"/>
      <c r="H185" s="18"/>
      <c r="I185" s="15"/>
      <c r="J185" s="15"/>
    </row>
    <row r="186" customFormat="false" ht="15" hidden="false" customHeight="false" outlineLevel="0" collapsed="false">
      <c r="A186" s="14" t="str">
        <f aca="false">IF(B186="","",ROW()-1)</f>
        <v/>
      </c>
      <c r="B186" s="16"/>
      <c r="C186" s="14" t="str">
        <f aca="false">IF(B186="","",YEAR(B186))</f>
        <v/>
      </c>
      <c r="D186" s="15"/>
      <c r="E186" s="15"/>
      <c r="F186" s="14" t="str">
        <f aca="false">IF(E186="","",IFERROR(INDEX(카테고리!$B$2:$B$8,MATCH(E186,카테고리!$A$2:$A$8,0)),""))</f>
        <v/>
      </c>
      <c r="G186" s="15"/>
      <c r="H186" s="18"/>
      <c r="I186" s="15"/>
      <c r="J186" s="15"/>
    </row>
    <row r="187" customFormat="false" ht="15" hidden="false" customHeight="false" outlineLevel="0" collapsed="false">
      <c r="A187" s="14" t="str">
        <f aca="false">IF(B187="","",ROW()-1)</f>
        <v/>
      </c>
      <c r="B187" s="16"/>
      <c r="C187" s="14" t="str">
        <f aca="false">IF(B187="","",YEAR(B187))</f>
        <v/>
      </c>
      <c r="D187" s="15"/>
      <c r="E187" s="15"/>
      <c r="F187" s="14" t="str">
        <f aca="false">IF(E187="","",IFERROR(INDEX(카테고리!$B$2:$B$8,MATCH(E187,카테고리!$A$2:$A$8,0)),""))</f>
        <v/>
      </c>
      <c r="G187" s="15"/>
      <c r="H187" s="18"/>
      <c r="I187" s="15"/>
      <c r="J187" s="15"/>
    </row>
    <row r="188" customFormat="false" ht="15" hidden="false" customHeight="false" outlineLevel="0" collapsed="false">
      <c r="A188" s="14" t="str">
        <f aca="false">IF(B188="","",ROW()-1)</f>
        <v/>
      </c>
      <c r="B188" s="16"/>
      <c r="C188" s="14" t="str">
        <f aca="false">IF(B188="","",YEAR(B188))</f>
        <v/>
      </c>
      <c r="D188" s="15"/>
      <c r="E188" s="15"/>
      <c r="F188" s="14" t="str">
        <f aca="false">IF(E188="","",IFERROR(INDEX(카테고리!$B$2:$B$8,MATCH(E188,카테고리!$A$2:$A$8,0)),""))</f>
        <v/>
      </c>
      <c r="G188" s="15"/>
      <c r="H188" s="18"/>
      <c r="I188" s="15"/>
      <c r="J188" s="15"/>
    </row>
    <row r="189" customFormat="false" ht="15" hidden="false" customHeight="false" outlineLevel="0" collapsed="false">
      <c r="A189" s="14" t="str">
        <f aca="false">IF(B189="","",ROW()-1)</f>
        <v/>
      </c>
      <c r="B189" s="16"/>
      <c r="C189" s="14" t="str">
        <f aca="false">IF(B189="","",YEAR(B189))</f>
        <v/>
      </c>
      <c r="D189" s="15"/>
      <c r="E189" s="15"/>
      <c r="F189" s="14" t="str">
        <f aca="false">IF(E189="","",IFERROR(INDEX(카테고리!$B$2:$B$8,MATCH(E189,카테고리!$A$2:$A$8,0)),""))</f>
        <v/>
      </c>
      <c r="G189" s="15"/>
      <c r="H189" s="18"/>
      <c r="I189" s="15"/>
      <c r="J189" s="15"/>
    </row>
    <row r="190" customFormat="false" ht="15" hidden="false" customHeight="false" outlineLevel="0" collapsed="false">
      <c r="A190" s="14" t="str">
        <f aca="false">IF(B190="","",ROW()-1)</f>
        <v/>
      </c>
      <c r="B190" s="16"/>
      <c r="C190" s="14" t="str">
        <f aca="false">IF(B190="","",YEAR(B190))</f>
        <v/>
      </c>
      <c r="D190" s="15"/>
      <c r="E190" s="15"/>
      <c r="F190" s="14" t="str">
        <f aca="false">IF(E190="","",IFERROR(INDEX(카테고리!$B$2:$B$8,MATCH(E190,카테고리!$A$2:$A$8,0)),""))</f>
        <v/>
      </c>
      <c r="G190" s="15"/>
      <c r="H190" s="18"/>
      <c r="I190" s="15"/>
      <c r="J190" s="15"/>
    </row>
    <row r="191" customFormat="false" ht="15" hidden="false" customHeight="false" outlineLevel="0" collapsed="false">
      <c r="A191" s="14" t="str">
        <f aca="false">IF(B191="","",ROW()-1)</f>
        <v/>
      </c>
      <c r="B191" s="16"/>
      <c r="C191" s="14" t="str">
        <f aca="false">IF(B191="","",YEAR(B191))</f>
        <v/>
      </c>
      <c r="D191" s="15"/>
      <c r="E191" s="15"/>
      <c r="F191" s="14" t="str">
        <f aca="false">IF(E191="","",IFERROR(INDEX(카테고리!$B$2:$B$8,MATCH(E191,카테고리!$A$2:$A$8,0)),""))</f>
        <v/>
      </c>
      <c r="G191" s="15"/>
      <c r="H191" s="18"/>
      <c r="I191" s="15"/>
      <c r="J191" s="15"/>
    </row>
    <row r="192" customFormat="false" ht="15" hidden="false" customHeight="false" outlineLevel="0" collapsed="false">
      <c r="A192" s="14" t="str">
        <f aca="false">IF(B192="","",ROW()-1)</f>
        <v/>
      </c>
      <c r="B192" s="16"/>
      <c r="C192" s="14" t="str">
        <f aca="false">IF(B192="","",YEAR(B192))</f>
        <v/>
      </c>
      <c r="D192" s="15"/>
      <c r="E192" s="15"/>
      <c r="F192" s="14" t="str">
        <f aca="false">IF(E192="","",IFERROR(INDEX(카테고리!$B$2:$B$8,MATCH(E192,카테고리!$A$2:$A$8,0)),""))</f>
        <v/>
      </c>
      <c r="G192" s="15"/>
      <c r="H192" s="18"/>
      <c r="I192" s="15"/>
      <c r="J192" s="15"/>
    </row>
    <row r="193" customFormat="false" ht="15" hidden="false" customHeight="false" outlineLevel="0" collapsed="false">
      <c r="A193" s="14" t="str">
        <f aca="false">IF(B193="","",ROW()-1)</f>
        <v/>
      </c>
      <c r="B193" s="16"/>
      <c r="C193" s="14" t="str">
        <f aca="false">IF(B193="","",YEAR(B193))</f>
        <v/>
      </c>
      <c r="D193" s="15"/>
      <c r="E193" s="15"/>
      <c r="F193" s="14" t="str">
        <f aca="false">IF(E193="","",IFERROR(INDEX(카테고리!$B$2:$B$8,MATCH(E193,카테고리!$A$2:$A$8,0)),""))</f>
        <v/>
      </c>
      <c r="G193" s="15"/>
      <c r="H193" s="18"/>
      <c r="I193" s="15"/>
      <c r="J193" s="15"/>
    </row>
    <row r="194" customFormat="false" ht="15" hidden="false" customHeight="false" outlineLevel="0" collapsed="false">
      <c r="A194" s="14" t="str">
        <f aca="false">IF(B194="","",ROW()-1)</f>
        <v/>
      </c>
      <c r="B194" s="16"/>
      <c r="C194" s="14" t="str">
        <f aca="false">IF(B194="","",YEAR(B194))</f>
        <v/>
      </c>
      <c r="D194" s="15"/>
      <c r="E194" s="15"/>
      <c r="F194" s="14" t="str">
        <f aca="false">IF(E194="","",IFERROR(INDEX(카테고리!$B$2:$B$8,MATCH(E194,카테고리!$A$2:$A$8,0)),""))</f>
        <v/>
      </c>
      <c r="G194" s="15"/>
      <c r="H194" s="18"/>
      <c r="I194" s="15"/>
      <c r="J194" s="15"/>
    </row>
    <row r="195" customFormat="false" ht="15" hidden="false" customHeight="false" outlineLevel="0" collapsed="false">
      <c r="A195" s="14" t="str">
        <f aca="false">IF(B195="","",ROW()-1)</f>
        <v/>
      </c>
      <c r="B195" s="16"/>
      <c r="C195" s="14" t="str">
        <f aca="false">IF(B195="","",YEAR(B195))</f>
        <v/>
      </c>
      <c r="D195" s="15"/>
      <c r="E195" s="15"/>
      <c r="F195" s="14" t="str">
        <f aca="false">IF(E195="","",IFERROR(INDEX(카테고리!$B$2:$B$8,MATCH(E195,카테고리!$A$2:$A$8,0)),""))</f>
        <v/>
      </c>
      <c r="G195" s="15"/>
      <c r="H195" s="18"/>
      <c r="I195" s="15"/>
      <c r="J195" s="15"/>
    </row>
    <row r="196" customFormat="false" ht="15" hidden="false" customHeight="false" outlineLevel="0" collapsed="false">
      <c r="A196" s="14" t="str">
        <f aca="false">IF(B196="","",ROW()-1)</f>
        <v/>
      </c>
      <c r="B196" s="16"/>
      <c r="C196" s="14" t="str">
        <f aca="false">IF(B196="","",YEAR(B196))</f>
        <v/>
      </c>
      <c r="D196" s="15"/>
      <c r="E196" s="15"/>
      <c r="F196" s="14" t="str">
        <f aca="false">IF(E196="","",IFERROR(INDEX(카테고리!$B$2:$B$8,MATCH(E196,카테고리!$A$2:$A$8,0)),""))</f>
        <v/>
      </c>
      <c r="G196" s="15"/>
      <c r="H196" s="18"/>
      <c r="I196" s="15"/>
      <c r="J196" s="15"/>
    </row>
    <row r="197" customFormat="false" ht="15" hidden="false" customHeight="false" outlineLevel="0" collapsed="false">
      <c r="A197" s="14" t="str">
        <f aca="false">IF(B197="","",ROW()-1)</f>
        <v/>
      </c>
      <c r="B197" s="16"/>
      <c r="C197" s="14" t="str">
        <f aca="false">IF(B197="","",YEAR(B197))</f>
        <v/>
      </c>
      <c r="D197" s="15"/>
      <c r="E197" s="15"/>
      <c r="F197" s="14" t="str">
        <f aca="false">IF(E197="","",IFERROR(INDEX(카테고리!$B$2:$B$8,MATCH(E197,카테고리!$A$2:$A$8,0)),""))</f>
        <v/>
      </c>
      <c r="G197" s="15"/>
      <c r="H197" s="18"/>
      <c r="I197" s="15"/>
      <c r="J197" s="15"/>
    </row>
    <row r="198" customFormat="false" ht="15" hidden="false" customHeight="false" outlineLevel="0" collapsed="false">
      <c r="A198" s="14" t="str">
        <f aca="false">IF(B198="","",ROW()-1)</f>
        <v/>
      </c>
      <c r="B198" s="16"/>
      <c r="C198" s="14" t="str">
        <f aca="false">IF(B198="","",YEAR(B198))</f>
        <v/>
      </c>
      <c r="D198" s="15"/>
      <c r="E198" s="15"/>
      <c r="F198" s="14" t="str">
        <f aca="false">IF(E198="","",IFERROR(INDEX(카테고리!$B$2:$B$8,MATCH(E198,카테고리!$A$2:$A$8,0)),""))</f>
        <v/>
      </c>
      <c r="G198" s="15"/>
      <c r="H198" s="18"/>
      <c r="I198" s="15"/>
      <c r="J198" s="15"/>
    </row>
    <row r="199" customFormat="false" ht="15" hidden="false" customHeight="false" outlineLevel="0" collapsed="false">
      <c r="A199" s="14" t="str">
        <f aca="false">IF(B199="","",ROW()-1)</f>
        <v/>
      </c>
      <c r="B199" s="16"/>
      <c r="C199" s="14" t="str">
        <f aca="false">IF(B199="","",YEAR(B199))</f>
        <v/>
      </c>
      <c r="D199" s="15"/>
      <c r="E199" s="15"/>
      <c r="F199" s="14" t="str">
        <f aca="false">IF(E199="","",IFERROR(INDEX(카테고리!$B$2:$B$8,MATCH(E199,카테고리!$A$2:$A$8,0)),""))</f>
        <v/>
      </c>
      <c r="G199" s="15"/>
      <c r="H199" s="18"/>
      <c r="I199" s="15"/>
      <c r="J199" s="15"/>
    </row>
    <row r="200" customFormat="false" ht="15" hidden="false" customHeight="false" outlineLevel="0" collapsed="false">
      <c r="A200" s="14" t="str">
        <f aca="false">IF(B200="","",ROW()-1)</f>
        <v/>
      </c>
      <c r="B200" s="16"/>
      <c r="C200" s="14" t="str">
        <f aca="false">IF(B200="","",YEAR(B200))</f>
        <v/>
      </c>
      <c r="D200" s="15"/>
      <c r="E200" s="15"/>
      <c r="F200" s="14" t="str">
        <f aca="false">IF(E200="","",IFERROR(INDEX(카테고리!$B$2:$B$8,MATCH(E200,카테고리!$A$2:$A$8,0)),""))</f>
        <v/>
      </c>
      <c r="G200" s="15"/>
      <c r="H200" s="18"/>
      <c r="I200" s="15"/>
      <c r="J200" s="15"/>
    </row>
    <row r="201" customFormat="false" ht="15" hidden="false" customHeight="false" outlineLevel="0" collapsed="false">
      <c r="A201" s="14" t="str">
        <f aca="false">IF(B201="","",ROW()-1)</f>
        <v/>
      </c>
      <c r="B201" s="16"/>
      <c r="C201" s="14" t="str">
        <f aca="false">IF(B201="","",YEAR(B201))</f>
        <v/>
      </c>
      <c r="D201" s="15"/>
      <c r="E201" s="15"/>
      <c r="F201" s="14" t="str">
        <f aca="false">IF(E201="","",IFERROR(INDEX(카테고리!$B$2:$B$8,MATCH(E201,카테고리!$A$2:$A$8,0)),""))</f>
        <v/>
      </c>
      <c r="G201" s="15"/>
      <c r="H201" s="18"/>
      <c r="I201" s="15"/>
      <c r="J201" s="15"/>
    </row>
    <row r="202" customFormat="false" ht="15" hidden="false" customHeight="false" outlineLevel="0" collapsed="false">
      <c r="A202" s="14" t="str">
        <f aca="false">IF(B202="","",ROW()-1)</f>
        <v/>
      </c>
      <c r="B202" s="16"/>
      <c r="C202" s="14" t="str">
        <f aca="false">IF(B202="","",YEAR(B202))</f>
        <v/>
      </c>
      <c r="D202" s="15"/>
      <c r="E202" s="15"/>
      <c r="F202" s="14" t="str">
        <f aca="false">IF(E202="","",IFERROR(INDEX(카테고리!$B$2:$B$8,MATCH(E202,카테고리!$A$2:$A$8,0)),""))</f>
        <v/>
      </c>
      <c r="G202" s="15"/>
      <c r="H202" s="18"/>
      <c r="I202" s="15"/>
      <c r="J202" s="15"/>
    </row>
    <row r="203" customFormat="false" ht="15" hidden="false" customHeight="false" outlineLevel="0" collapsed="false">
      <c r="A203" s="14" t="str">
        <f aca="false">IF(B203="","",ROW()-1)</f>
        <v/>
      </c>
      <c r="B203" s="16"/>
      <c r="C203" s="14" t="str">
        <f aca="false">IF(B203="","",YEAR(B203))</f>
        <v/>
      </c>
      <c r="D203" s="15"/>
      <c r="E203" s="15"/>
      <c r="F203" s="14" t="str">
        <f aca="false">IF(E203="","",IFERROR(INDEX(카테고리!$B$2:$B$8,MATCH(E203,카테고리!$A$2:$A$8,0)),""))</f>
        <v/>
      </c>
      <c r="G203" s="15"/>
      <c r="H203" s="18"/>
      <c r="I203" s="15"/>
      <c r="J203" s="15"/>
    </row>
    <row r="204" customFormat="false" ht="15" hidden="false" customHeight="false" outlineLevel="0" collapsed="false">
      <c r="A204" s="14" t="str">
        <f aca="false">IF(B204="","",ROW()-1)</f>
        <v/>
      </c>
      <c r="B204" s="16"/>
      <c r="C204" s="14" t="str">
        <f aca="false">IF(B204="","",YEAR(B204))</f>
        <v/>
      </c>
      <c r="D204" s="15"/>
      <c r="E204" s="15"/>
      <c r="F204" s="14" t="str">
        <f aca="false">IF(E204="","",IFERROR(INDEX(카테고리!$B$2:$B$8,MATCH(E204,카테고리!$A$2:$A$8,0)),""))</f>
        <v/>
      </c>
      <c r="G204" s="15"/>
      <c r="H204" s="18"/>
      <c r="I204" s="15"/>
      <c r="J204" s="15"/>
    </row>
    <row r="205" customFormat="false" ht="15" hidden="false" customHeight="false" outlineLevel="0" collapsed="false">
      <c r="A205" s="14" t="str">
        <f aca="false">IF(B205="","",ROW()-1)</f>
        <v/>
      </c>
      <c r="B205" s="16"/>
      <c r="C205" s="14" t="str">
        <f aca="false">IF(B205="","",YEAR(B205))</f>
        <v/>
      </c>
      <c r="D205" s="15"/>
      <c r="E205" s="15"/>
      <c r="F205" s="14" t="str">
        <f aca="false">IF(E205="","",IFERROR(INDEX(카테고리!$B$2:$B$8,MATCH(E205,카테고리!$A$2:$A$8,0)),""))</f>
        <v/>
      </c>
      <c r="G205" s="15"/>
      <c r="H205" s="18"/>
      <c r="I205" s="15"/>
      <c r="J205" s="15"/>
    </row>
    <row r="206" customFormat="false" ht="15" hidden="false" customHeight="false" outlineLevel="0" collapsed="false">
      <c r="A206" s="14" t="str">
        <f aca="false">IF(B206="","",ROW()-1)</f>
        <v/>
      </c>
      <c r="B206" s="16"/>
      <c r="C206" s="14" t="str">
        <f aca="false">IF(B206="","",YEAR(B206))</f>
        <v/>
      </c>
      <c r="D206" s="15"/>
      <c r="E206" s="15"/>
      <c r="F206" s="14" t="str">
        <f aca="false">IF(E206="","",IFERROR(INDEX(카테고리!$B$2:$B$8,MATCH(E206,카테고리!$A$2:$A$8,0)),""))</f>
        <v/>
      </c>
      <c r="G206" s="15"/>
      <c r="H206" s="18"/>
      <c r="I206" s="15"/>
      <c r="J206" s="15"/>
    </row>
    <row r="207" customFormat="false" ht="15" hidden="false" customHeight="false" outlineLevel="0" collapsed="false">
      <c r="A207" s="14" t="str">
        <f aca="false">IF(B207="","",ROW()-1)</f>
        <v/>
      </c>
      <c r="B207" s="16"/>
      <c r="C207" s="14" t="str">
        <f aca="false">IF(B207="","",YEAR(B207))</f>
        <v/>
      </c>
      <c r="D207" s="15"/>
      <c r="E207" s="15"/>
      <c r="F207" s="14" t="str">
        <f aca="false">IF(E207="","",IFERROR(INDEX(카테고리!$B$2:$B$8,MATCH(E207,카테고리!$A$2:$A$8,0)),""))</f>
        <v/>
      </c>
      <c r="G207" s="15"/>
      <c r="H207" s="18"/>
      <c r="I207" s="15"/>
      <c r="J207" s="15"/>
    </row>
    <row r="208" customFormat="false" ht="15" hidden="false" customHeight="false" outlineLevel="0" collapsed="false">
      <c r="A208" s="14" t="str">
        <f aca="false">IF(B208="","",ROW()-1)</f>
        <v/>
      </c>
      <c r="B208" s="16"/>
      <c r="C208" s="14" t="str">
        <f aca="false">IF(B208="","",YEAR(B208))</f>
        <v/>
      </c>
      <c r="D208" s="15"/>
      <c r="E208" s="15"/>
      <c r="F208" s="14" t="str">
        <f aca="false">IF(E208="","",IFERROR(INDEX(카테고리!$B$2:$B$8,MATCH(E208,카테고리!$A$2:$A$8,0)),""))</f>
        <v/>
      </c>
      <c r="G208" s="15"/>
      <c r="H208" s="18"/>
      <c r="I208" s="15"/>
      <c r="J208" s="15"/>
    </row>
    <row r="209" customFormat="false" ht="15" hidden="false" customHeight="false" outlineLevel="0" collapsed="false">
      <c r="A209" s="14" t="str">
        <f aca="false">IF(B209="","",ROW()-1)</f>
        <v/>
      </c>
      <c r="B209" s="16"/>
      <c r="C209" s="14" t="str">
        <f aca="false">IF(B209="","",YEAR(B209))</f>
        <v/>
      </c>
      <c r="D209" s="15"/>
      <c r="E209" s="15"/>
      <c r="F209" s="14" t="str">
        <f aca="false">IF(E209="","",IFERROR(INDEX(카테고리!$B$2:$B$8,MATCH(E209,카테고리!$A$2:$A$8,0)),""))</f>
        <v/>
      </c>
      <c r="G209" s="15"/>
      <c r="H209" s="18"/>
      <c r="I209" s="15"/>
      <c r="J209" s="15"/>
    </row>
    <row r="210" customFormat="false" ht="15" hidden="false" customHeight="false" outlineLevel="0" collapsed="false">
      <c r="A210" s="14" t="str">
        <f aca="false">IF(B210="","",ROW()-1)</f>
        <v/>
      </c>
      <c r="B210" s="16"/>
      <c r="C210" s="14" t="str">
        <f aca="false">IF(B210="","",YEAR(B210))</f>
        <v/>
      </c>
      <c r="D210" s="15"/>
      <c r="E210" s="15"/>
      <c r="F210" s="14" t="str">
        <f aca="false">IF(E210="","",IFERROR(INDEX(카테고리!$B$2:$B$8,MATCH(E210,카테고리!$A$2:$A$8,0)),""))</f>
        <v/>
      </c>
      <c r="G210" s="15"/>
      <c r="H210" s="18"/>
      <c r="I210" s="15"/>
      <c r="J210" s="15"/>
    </row>
    <row r="211" customFormat="false" ht="15" hidden="false" customHeight="false" outlineLevel="0" collapsed="false">
      <c r="A211" s="14" t="str">
        <f aca="false">IF(B211="","",ROW()-1)</f>
        <v/>
      </c>
      <c r="B211" s="16"/>
      <c r="C211" s="14" t="str">
        <f aca="false">IF(B211="","",YEAR(B211))</f>
        <v/>
      </c>
      <c r="D211" s="15"/>
      <c r="E211" s="15"/>
      <c r="F211" s="14" t="str">
        <f aca="false">IF(E211="","",IFERROR(INDEX(카테고리!$B$2:$B$8,MATCH(E211,카테고리!$A$2:$A$8,0)),""))</f>
        <v/>
      </c>
      <c r="G211" s="15"/>
      <c r="H211" s="18"/>
      <c r="I211" s="15"/>
      <c r="J211" s="15"/>
    </row>
    <row r="212" customFormat="false" ht="15" hidden="false" customHeight="false" outlineLevel="0" collapsed="false">
      <c r="A212" s="14" t="str">
        <f aca="false">IF(B212="","",ROW()-1)</f>
        <v/>
      </c>
      <c r="B212" s="16"/>
      <c r="C212" s="14" t="str">
        <f aca="false">IF(B212="","",YEAR(B212))</f>
        <v/>
      </c>
      <c r="D212" s="15"/>
      <c r="E212" s="15"/>
      <c r="F212" s="14" t="str">
        <f aca="false">IF(E212="","",IFERROR(INDEX(카테고리!$B$2:$B$8,MATCH(E212,카테고리!$A$2:$A$8,0)),""))</f>
        <v/>
      </c>
      <c r="G212" s="15"/>
      <c r="H212" s="18"/>
      <c r="I212" s="15"/>
      <c r="J212" s="15"/>
    </row>
    <row r="213" customFormat="false" ht="15" hidden="false" customHeight="false" outlineLevel="0" collapsed="false">
      <c r="A213" s="14" t="str">
        <f aca="false">IF(B213="","",ROW()-1)</f>
        <v/>
      </c>
      <c r="B213" s="16"/>
      <c r="C213" s="14" t="str">
        <f aca="false">IF(B213="","",YEAR(B213))</f>
        <v/>
      </c>
      <c r="D213" s="15"/>
      <c r="E213" s="15"/>
      <c r="F213" s="14" t="str">
        <f aca="false">IF(E213="","",IFERROR(INDEX(카테고리!$B$2:$B$8,MATCH(E213,카테고리!$A$2:$A$8,0)),""))</f>
        <v/>
      </c>
      <c r="G213" s="15"/>
      <c r="H213" s="18"/>
      <c r="I213" s="15"/>
      <c r="J213" s="15"/>
    </row>
    <row r="214" customFormat="false" ht="15" hidden="false" customHeight="false" outlineLevel="0" collapsed="false">
      <c r="A214" s="14" t="str">
        <f aca="false">IF(B214="","",ROW()-1)</f>
        <v/>
      </c>
      <c r="B214" s="16"/>
      <c r="C214" s="14" t="str">
        <f aca="false">IF(B214="","",YEAR(B214))</f>
        <v/>
      </c>
      <c r="D214" s="15"/>
      <c r="E214" s="15"/>
      <c r="F214" s="14" t="str">
        <f aca="false">IF(E214="","",IFERROR(INDEX(카테고리!$B$2:$B$8,MATCH(E214,카테고리!$A$2:$A$8,0)),""))</f>
        <v/>
      </c>
      <c r="G214" s="15"/>
      <c r="H214" s="18"/>
      <c r="I214" s="15"/>
      <c r="J214" s="15"/>
    </row>
    <row r="215" customFormat="false" ht="15" hidden="false" customHeight="false" outlineLevel="0" collapsed="false">
      <c r="A215" s="14" t="str">
        <f aca="false">IF(B215="","",ROW()-1)</f>
        <v/>
      </c>
      <c r="B215" s="16"/>
      <c r="C215" s="14" t="str">
        <f aca="false">IF(B215="","",YEAR(B215))</f>
        <v/>
      </c>
      <c r="D215" s="15"/>
      <c r="E215" s="15"/>
      <c r="F215" s="14" t="str">
        <f aca="false">IF(E215="","",IFERROR(INDEX(카테고리!$B$2:$B$8,MATCH(E215,카테고리!$A$2:$A$8,0)),""))</f>
        <v/>
      </c>
      <c r="G215" s="15"/>
      <c r="H215" s="18"/>
      <c r="I215" s="15"/>
      <c r="J215" s="15"/>
    </row>
    <row r="216" customFormat="false" ht="15" hidden="false" customHeight="false" outlineLevel="0" collapsed="false">
      <c r="A216" s="14" t="str">
        <f aca="false">IF(B216="","",ROW()-1)</f>
        <v/>
      </c>
      <c r="B216" s="16"/>
      <c r="C216" s="14" t="str">
        <f aca="false">IF(B216="","",YEAR(B216))</f>
        <v/>
      </c>
      <c r="D216" s="15"/>
      <c r="E216" s="15"/>
      <c r="F216" s="14" t="str">
        <f aca="false">IF(E216="","",IFERROR(INDEX(카테고리!$B$2:$B$8,MATCH(E216,카테고리!$A$2:$A$8,0)),""))</f>
        <v/>
      </c>
      <c r="G216" s="15"/>
      <c r="H216" s="18"/>
      <c r="I216" s="15"/>
      <c r="J216" s="15"/>
    </row>
    <row r="217" customFormat="false" ht="15" hidden="false" customHeight="false" outlineLevel="0" collapsed="false">
      <c r="A217" s="14" t="str">
        <f aca="false">IF(B217="","",ROW()-1)</f>
        <v/>
      </c>
      <c r="B217" s="16"/>
      <c r="C217" s="14" t="str">
        <f aca="false">IF(B217="","",YEAR(B217))</f>
        <v/>
      </c>
      <c r="D217" s="15"/>
      <c r="E217" s="15"/>
      <c r="F217" s="14" t="str">
        <f aca="false">IF(E217="","",IFERROR(INDEX(카테고리!$B$2:$B$8,MATCH(E217,카테고리!$A$2:$A$8,0)),""))</f>
        <v/>
      </c>
      <c r="G217" s="15"/>
      <c r="H217" s="18"/>
      <c r="I217" s="15"/>
      <c r="J217" s="15"/>
    </row>
    <row r="218" customFormat="false" ht="15" hidden="false" customHeight="false" outlineLevel="0" collapsed="false">
      <c r="A218" s="14" t="str">
        <f aca="false">IF(B218="","",ROW()-1)</f>
        <v/>
      </c>
      <c r="B218" s="16"/>
      <c r="C218" s="14" t="str">
        <f aca="false">IF(B218="","",YEAR(B218))</f>
        <v/>
      </c>
      <c r="D218" s="15"/>
      <c r="E218" s="15"/>
      <c r="F218" s="14" t="str">
        <f aca="false">IF(E218="","",IFERROR(INDEX(카테고리!$B$2:$B$8,MATCH(E218,카테고리!$A$2:$A$8,0)),""))</f>
        <v/>
      </c>
      <c r="G218" s="15"/>
      <c r="H218" s="18"/>
      <c r="I218" s="15"/>
      <c r="J218" s="15"/>
    </row>
    <row r="219" customFormat="false" ht="15" hidden="false" customHeight="false" outlineLevel="0" collapsed="false">
      <c r="A219" s="14" t="str">
        <f aca="false">IF(B219="","",ROW()-1)</f>
        <v/>
      </c>
      <c r="B219" s="16"/>
      <c r="C219" s="14" t="str">
        <f aca="false">IF(B219="","",YEAR(B219))</f>
        <v/>
      </c>
      <c r="D219" s="15"/>
      <c r="E219" s="15"/>
      <c r="F219" s="14" t="str">
        <f aca="false">IF(E219="","",IFERROR(INDEX(카테고리!$B$2:$B$8,MATCH(E219,카테고리!$A$2:$A$8,0)),""))</f>
        <v/>
      </c>
      <c r="G219" s="15"/>
      <c r="H219" s="18"/>
      <c r="I219" s="15"/>
      <c r="J219" s="15"/>
    </row>
    <row r="220" customFormat="false" ht="15" hidden="false" customHeight="false" outlineLevel="0" collapsed="false">
      <c r="A220" s="14" t="str">
        <f aca="false">IF(B220="","",ROW()-1)</f>
        <v/>
      </c>
      <c r="B220" s="16"/>
      <c r="C220" s="14" t="str">
        <f aca="false">IF(B220="","",YEAR(B220))</f>
        <v/>
      </c>
      <c r="D220" s="15"/>
      <c r="E220" s="15"/>
      <c r="F220" s="14" t="str">
        <f aca="false">IF(E220="","",IFERROR(INDEX(카테고리!$B$2:$B$8,MATCH(E220,카테고리!$A$2:$A$8,0)),""))</f>
        <v/>
      </c>
      <c r="G220" s="15"/>
      <c r="H220" s="18"/>
      <c r="I220" s="15"/>
      <c r="J220" s="15"/>
    </row>
    <row r="221" customFormat="false" ht="15" hidden="false" customHeight="false" outlineLevel="0" collapsed="false">
      <c r="A221" s="14" t="str">
        <f aca="false">IF(B221="","",ROW()-1)</f>
        <v/>
      </c>
      <c r="B221" s="16"/>
      <c r="C221" s="14" t="str">
        <f aca="false">IF(B221="","",YEAR(B221))</f>
        <v/>
      </c>
      <c r="D221" s="15"/>
      <c r="E221" s="15"/>
      <c r="F221" s="14" t="str">
        <f aca="false">IF(E221="","",IFERROR(INDEX(카테고리!$B$2:$B$8,MATCH(E221,카테고리!$A$2:$A$8,0)),""))</f>
        <v/>
      </c>
      <c r="G221" s="15"/>
      <c r="H221" s="18"/>
      <c r="I221" s="15"/>
      <c r="J221" s="15"/>
    </row>
    <row r="222" customFormat="false" ht="15" hidden="false" customHeight="false" outlineLevel="0" collapsed="false">
      <c r="A222" s="14" t="str">
        <f aca="false">IF(B222="","",ROW()-1)</f>
        <v/>
      </c>
      <c r="B222" s="16"/>
      <c r="C222" s="14" t="str">
        <f aca="false">IF(B222="","",YEAR(B222))</f>
        <v/>
      </c>
      <c r="D222" s="15"/>
      <c r="E222" s="15"/>
      <c r="F222" s="14" t="str">
        <f aca="false">IF(E222="","",IFERROR(INDEX(카테고리!$B$2:$B$8,MATCH(E222,카테고리!$A$2:$A$8,0)),""))</f>
        <v/>
      </c>
      <c r="G222" s="15"/>
      <c r="H222" s="18"/>
      <c r="I222" s="15"/>
      <c r="J222" s="15"/>
    </row>
    <row r="223" customFormat="false" ht="15" hidden="false" customHeight="false" outlineLevel="0" collapsed="false">
      <c r="A223" s="14" t="str">
        <f aca="false">IF(B223="","",ROW()-1)</f>
        <v/>
      </c>
      <c r="B223" s="16"/>
      <c r="C223" s="14" t="str">
        <f aca="false">IF(B223="","",YEAR(B223))</f>
        <v/>
      </c>
      <c r="D223" s="15"/>
      <c r="E223" s="15"/>
      <c r="F223" s="14" t="str">
        <f aca="false">IF(E223="","",IFERROR(INDEX(카테고리!$B$2:$B$8,MATCH(E223,카테고리!$A$2:$A$8,0)),""))</f>
        <v/>
      </c>
      <c r="G223" s="15"/>
      <c r="H223" s="18"/>
      <c r="I223" s="15"/>
      <c r="J223" s="15"/>
    </row>
    <row r="224" customFormat="false" ht="15" hidden="false" customHeight="false" outlineLevel="0" collapsed="false">
      <c r="A224" s="14" t="str">
        <f aca="false">IF(B224="","",ROW()-1)</f>
        <v/>
      </c>
      <c r="B224" s="16"/>
      <c r="C224" s="14" t="str">
        <f aca="false">IF(B224="","",YEAR(B224))</f>
        <v/>
      </c>
      <c r="D224" s="15"/>
      <c r="E224" s="15"/>
      <c r="F224" s="14" t="str">
        <f aca="false">IF(E224="","",IFERROR(INDEX(카테고리!$B$2:$B$8,MATCH(E224,카테고리!$A$2:$A$8,0)),""))</f>
        <v/>
      </c>
      <c r="G224" s="15"/>
      <c r="H224" s="18"/>
      <c r="I224" s="15"/>
      <c r="J224" s="15"/>
    </row>
    <row r="225" customFormat="false" ht="15" hidden="false" customHeight="false" outlineLevel="0" collapsed="false">
      <c r="A225" s="14" t="str">
        <f aca="false">IF(B225="","",ROW()-1)</f>
        <v/>
      </c>
      <c r="B225" s="16"/>
      <c r="C225" s="14" t="str">
        <f aca="false">IF(B225="","",YEAR(B225))</f>
        <v/>
      </c>
      <c r="D225" s="15"/>
      <c r="E225" s="15"/>
      <c r="F225" s="14" t="str">
        <f aca="false">IF(E225="","",IFERROR(INDEX(카테고리!$B$2:$B$8,MATCH(E225,카테고리!$A$2:$A$8,0)),""))</f>
        <v/>
      </c>
      <c r="G225" s="15"/>
      <c r="H225" s="18"/>
      <c r="I225" s="15"/>
      <c r="J225" s="15"/>
    </row>
    <row r="226" customFormat="false" ht="15" hidden="false" customHeight="false" outlineLevel="0" collapsed="false">
      <c r="A226" s="14" t="str">
        <f aca="false">IF(B226="","",ROW()-1)</f>
        <v/>
      </c>
      <c r="B226" s="16"/>
      <c r="C226" s="14" t="str">
        <f aca="false">IF(B226="","",YEAR(B226))</f>
        <v/>
      </c>
      <c r="D226" s="15"/>
      <c r="E226" s="15"/>
      <c r="F226" s="14" t="str">
        <f aca="false">IF(E226="","",IFERROR(INDEX(카테고리!$B$2:$B$8,MATCH(E226,카테고리!$A$2:$A$8,0)),""))</f>
        <v/>
      </c>
      <c r="G226" s="15"/>
      <c r="H226" s="18"/>
      <c r="I226" s="15"/>
      <c r="J226" s="15"/>
    </row>
    <row r="227" customFormat="false" ht="15" hidden="false" customHeight="false" outlineLevel="0" collapsed="false">
      <c r="A227" s="14" t="str">
        <f aca="false">IF(B227="","",ROW()-1)</f>
        <v/>
      </c>
      <c r="B227" s="16"/>
      <c r="C227" s="14" t="str">
        <f aca="false">IF(B227="","",YEAR(B227))</f>
        <v/>
      </c>
      <c r="D227" s="15"/>
      <c r="E227" s="15"/>
      <c r="F227" s="14" t="str">
        <f aca="false">IF(E227="","",IFERROR(INDEX(카테고리!$B$2:$B$8,MATCH(E227,카테고리!$A$2:$A$8,0)),""))</f>
        <v/>
      </c>
      <c r="G227" s="15"/>
      <c r="H227" s="18"/>
      <c r="I227" s="15"/>
      <c r="J227" s="15"/>
    </row>
    <row r="228" customFormat="false" ht="15" hidden="false" customHeight="false" outlineLevel="0" collapsed="false">
      <c r="A228" s="14" t="str">
        <f aca="false">IF(B228="","",ROW()-1)</f>
        <v/>
      </c>
      <c r="B228" s="16"/>
      <c r="C228" s="14" t="str">
        <f aca="false">IF(B228="","",YEAR(B228))</f>
        <v/>
      </c>
      <c r="D228" s="15"/>
      <c r="E228" s="15"/>
      <c r="F228" s="14" t="str">
        <f aca="false">IF(E228="","",IFERROR(INDEX(카테고리!$B$2:$B$8,MATCH(E228,카테고리!$A$2:$A$8,0)),""))</f>
        <v/>
      </c>
      <c r="G228" s="15"/>
      <c r="H228" s="18"/>
      <c r="I228" s="15"/>
      <c r="J228" s="15"/>
    </row>
    <row r="229" customFormat="false" ht="15" hidden="false" customHeight="false" outlineLevel="0" collapsed="false">
      <c r="A229" s="14" t="str">
        <f aca="false">IF(B229="","",ROW()-1)</f>
        <v/>
      </c>
      <c r="B229" s="16"/>
      <c r="C229" s="14" t="str">
        <f aca="false">IF(B229="","",YEAR(B229))</f>
        <v/>
      </c>
      <c r="D229" s="15"/>
      <c r="E229" s="15"/>
      <c r="F229" s="14" t="str">
        <f aca="false">IF(E229="","",IFERROR(INDEX(카테고리!$B$2:$B$8,MATCH(E229,카테고리!$A$2:$A$8,0)),""))</f>
        <v/>
      </c>
      <c r="G229" s="15"/>
      <c r="H229" s="18"/>
      <c r="I229" s="15"/>
      <c r="J229" s="15"/>
    </row>
    <row r="230" customFormat="false" ht="15" hidden="false" customHeight="false" outlineLevel="0" collapsed="false">
      <c r="A230" s="14" t="str">
        <f aca="false">IF(B230="","",ROW()-1)</f>
        <v/>
      </c>
      <c r="B230" s="16"/>
      <c r="C230" s="14" t="str">
        <f aca="false">IF(B230="","",YEAR(B230))</f>
        <v/>
      </c>
      <c r="D230" s="15"/>
      <c r="E230" s="15"/>
      <c r="F230" s="14" t="str">
        <f aca="false">IF(E230="","",IFERROR(INDEX(카테고리!$B$2:$B$8,MATCH(E230,카테고리!$A$2:$A$8,0)),""))</f>
        <v/>
      </c>
      <c r="G230" s="15"/>
      <c r="H230" s="18"/>
      <c r="I230" s="15"/>
      <c r="J230" s="15"/>
    </row>
    <row r="231" customFormat="false" ht="15" hidden="false" customHeight="false" outlineLevel="0" collapsed="false">
      <c r="A231" s="14" t="str">
        <f aca="false">IF(B231="","",ROW()-1)</f>
        <v/>
      </c>
      <c r="B231" s="16"/>
      <c r="C231" s="14" t="str">
        <f aca="false">IF(B231="","",YEAR(B231))</f>
        <v/>
      </c>
      <c r="D231" s="15"/>
      <c r="E231" s="15"/>
      <c r="F231" s="14" t="str">
        <f aca="false">IF(E231="","",IFERROR(INDEX(카테고리!$B$2:$B$8,MATCH(E231,카테고리!$A$2:$A$8,0)),""))</f>
        <v/>
      </c>
      <c r="G231" s="15"/>
      <c r="H231" s="18"/>
      <c r="I231" s="15"/>
      <c r="J231" s="15"/>
    </row>
    <row r="232" customFormat="false" ht="15" hidden="false" customHeight="false" outlineLevel="0" collapsed="false">
      <c r="A232" s="14" t="str">
        <f aca="false">IF(B232="","",ROW()-1)</f>
        <v/>
      </c>
      <c r="B232" s="16"/>
      <c r="C232" s="14" t="str">
        <f aca="false">IF(B232="","",YEAR(B232))</f>
        <v/>
      </c>
      <c r="D232" s="15"/>
      <c r="E232" s="15"/>
      <c r="F232" s="14" t="str">
        <f aca="false">IF(E232="","",IFERROR(INDEX(카테고리!$B$2:$B$8,MATCH(E232,카테고리!$A$2:$A$8,0)),""))</f>
        <v/>
      </c>
      <c r="G232" s="15"/>
      <c r="H232" s="18"/>
      <c r="I232" s="15"/>
      <c r="J232" s="15"/>
    </row>
    <row r="233" customFormat="false" ht="15" hidden="false" customHeight="false" outlineLevel="0" collapsed="false">
      <c r="A233" s="14" t="str">
        <f aca="false">IF(B233="","",ROW()-1)</f>
        <v/>
      </c>
      <c r="B233" s="16"/>
      <c r="C233" s="14" t="str">
        <f aca="false">IF(B233="","",YEAR(B233))</f>
        <v/>
      </c>
      <c r="D233" s="15"/>
      <c r="E233" s="15"/>
      <c r="F233" s="14" t="str">
        <f aca="false">IF(E233="","",IFERROR(INDEX(카테고리!$B$2:$B$8,MATCH(E233,카테고리!$A$2:$A$8,0)),""))</f>
        <v/>
      </c>
      <c r="G233" s="15"/>
      <c r="H233" s="18"/>
      <c r="I233" s="15"/>
      <c r="J233" s="15"/>
    </row>
    <row r="234" customFormat="false" ht="15" hidden="false" customHeight="false" outlineLevel="0" collapsed="false">
      <c r="A234" s="14" t="str">
        <f aca="false">IF(B234="","",ROW()-1)</f>
        <v/>
      </c>
      <c r="B234" s="16"/>
      <c r="C234" s="14" t="str">
        <f aca="false">IF(B234="","",YEAR(B234))</f>
        <v/>
      </c>
      <c r="D234" s="15"/>
      <c r="E234" s="15"/>
      <c r="F234" s="14" t="str">
        <f aca="false">IF(E234="","",IFERROR(INDEX(카테고리!$B$2:$B$8,MATCH(E234,카테고리!$A$2:$A$8,0)),""))</f>
        <v/>
      </c>
      <c r="G234" s="15"/>
      <c r="H234" s="18"/>
      <c r="I234" s="15"/>
      <c r="J234" s="15"/>
    </row>
    <row r="235" customFormat="false" ht="15" hidden="false" customHeight="false" outlineLevel="0" collapsed="false">
      <c r="A235" s="14" t="str">
        <f aca="false">IF(B235="","",ROW()-1)</f>
        <v/>
      </c>
      <c r="B235" s="16"/>
      <c r="C235" s="14" t="str">
        <f aca="false">IF(B235="","",YEAR(B235))</f>
        <v/>
      </c>
      <c r="D235" s="15"/>
      <c r="E235" s="15"/>
      <c r="F235" s="14" t="str">
        <f aca="false">IF(E235="","",IFERROR(INDEX(카테고리!$B$2:$B$8,MATCH(E235,카테고리!$A$2:$A$8,0)),""))</f>
        <v/>
      </c>
      <c r="G235" s="15"/>
      <c r="H235" s="18"/>
      <c r="I235" s="15"/>
      <c r="J235" s="15"/>
    </row>
    <row r="236" customFormat="false" ht="15" hidden="false" customHeight="false" outlineLevel="0" collapsed="false">
      <c r="A236" s="14" t="str">
        <f aca="false">IF(B236="","",ROW()-1)</f>
        <v/>
      </c>
      <c r="B236" s="16"/>
      <c r="C236" s="14" t="str">
        <f aca="false">IF(B236="","",YEAR(B236))</f>
        <v/>
      </c>
      <c r="D236" s="15"/>
      <c r="E236" s="15"/>
      <c r="F236" s="14" t="str">
        <f aca="false">IF(E236="","",IFERROR(INDEX(카테고리!$B$2:$B$8,MATCH(E236,카테고리!$A$2:$A$8,0)),""))</f>
        <v/>
      </c>
      <c r="G236" s="15"/>
      <c r="H236" s="18"/>
      <c r="I236" s="15"/>
      <c r="J236" s="15"/>
    </row>
    <row r="237" customFormat="false" ht="15" hidden="false" customHeight="false" outlineLevel="0" collapsed="false">
      <c r="A237" s="14" t="str">
        <f aca="false">IF(B237="","",ROW()-1)</f>
        <v/>
      </c>
      <c r="B237" s="16"/>
      <c r="C237" s="14" t="str">
        <f aca="false">IF(B237="","",YEAR(B237))</f>
        <v/>
      </c>
      <c r="D237" s="15"/>
      <c r="E237" s="15"/>
      <c r="F237" s="14" t="str">
        <f aca="false">IF(E237="","",IFERROR(INDEX(카테고리!$B$2:$B$8,MATCH(E237,카테고리!$A$2:$A$8,0)),""))</f>
        <v/>
      </c>
      <c r="G237" s="15"/>
      <c r="H237" s="18"/>
      <c r="I237" s="15"/>
      <c r="J237" s="15"/>
    </row>
    <row r="238" customFormat="false" ht="15" hidden="false" customHeight="false" outlineLevel="0" collapsed="false">
      <c r="A238" s="14" t="str">
        <f aca="false">IF(B238="","",ROW()-1)</f>
        <v/>
      </c>
      <c r="B238" s="16"/>
      <c r="C238" s="14" t="str">
        <f aca="false">IF(B238="","",YEAR(B238))</f>
        <v/>
      </c>
      <c r="D238" s="15"/>
      <c r="E238" s="15"/>
      <c r="F238" s="14" t="str">
        <f aca="false">IF(E238="","",IFERROR(INDEX(카테고리!$B$2:$B$8,MATCH(E238,카테고리!$A$2:$A$8,0)),""))</f>
        <v/>
      </c>
      <c r="G238" s="15"/>
      <c r="H238" s="18"/>
      <c r="I238" s="15"/>
      <c r="J238" s="15"/>
    </row>
    <row r="239" customFormat="false" ht="15" hidden="false" customHeight="false" outlineLevel="0" collapsed="false">
      <c r="A239" s="14" t="str">
        <f aca="false">IF(B239="","",ROW()-1)</f>
        <v/>
      </c>
      <c r="B239" s="16"/>
      <c r="C239" s="14" t="str">
        <f aca="false">IF(B239="","",YEAR(B239))</f>
        <v/>
      </c>
      <c r="D239" s="15"/>
      <c r="E239" s="15"/>
      <c r="F239" s="14" t="str">
        <f aca="false">IF(E239="","",IFERROR(INDEX(카테고리!$B$2:$B$8,MATCH(E239,카테고리!$A$2:$A$8,0)),""))</f>
        <v/>
      </c>
      <c r="G239" s="15"/>
      <c r="H239" s="18"/>
      <c r="I239" s="15"/>
      <c r="J239" s="15"/>
    </row>
    <row r="240" customFormat="false" ht="15" hidden="false" customHeight="false" outlineLevel="0" collapsed="false">
      <c r="A240" s="14" t="str">
        <f aca="false">IF(B240="","",ROW()-1)</f>
        <v/>
      </c>
      <c r="B240" s="16"/>
      <c r="C240" s="14" t="str">
        <f aca="false">IF(B240="","",YEAR(B240))</f>
        <v/>
      </c>
      <c r="D240" s="15"/>
      <c r="E240" s="15"/>
      <c r="F240" s="14" t="str">
        <f aca="false">IF(E240="","",IFERROR(INDEX(카테고리!$B$2:$B$8,MATCH(E240,카테고리!$A$2:$A$8,0)),""))</f>
        <v/>
      </c>
      <c r="G240" s="15"/>
      <c r="H240" s="18"/>
      <c r="I240" s="15"/>
      <c r="J240" s="15"/>
    </row>
    <row r="241" customFormat="false" ht="15" hidden="false" customHeight="false" outlineLevel="0" collapsed="false">
      <c r="A241" s="14" t="str">
        <f aca="false">IF(B241="","",ROW()-1)</f>
        <v/>
      </c>
      <c r="B241" s="16"/>
      <c r="C241" s="14" t="str">
        <f aca="false">IF(B241="","",YEAR(B241))</f>
        <v/>
      </c>
      <c r="D241" s="15"/>
      <c r="E241" s="15"/>
      <c r="F241" s="14" t="str">
        <f aca="false">IF(E241="","",IFERROR(INDEX(카테고리!$B$2:$B$8,MATCH(E241,카테고리!$A$2:$A$8,0)),""))</f>
        <v/>
      </c>
      <c r="G241" s="15"/>
      <c r="H241" s="18"/>
      <c r="I241" s="15"/>
      <c r="J241" s="15"/>
    </row>
    <row r="242" customFormat="false" ht="15" hidden="false" customHeight="false" outlineLevel="0" collapsed="false">
      <c r="A242" s="14" t="str">
        <f aca="false">IF(B242="","",ROW()-1)</f>
        <v/>
      </c>
      <c r="B242" s="16"/>
      <c r="C242" s="14" t="str">
        <f aca="false">IF(B242="","",YEAR(B242))</f>
        <v/>
      </c>
      <c r="D242" s="15"/>
      <c r="E242" s="15"/>
      <c r="F242" s="14" t="str">
        <f aca="false">IF(E242="","",IFERROR(INDEX(카테고리!$B$2:$B$8,MATCH(E242,카테고리!$A$2:$A$8,0)),""))</f>
        <v/>
      </c>
      <c r="G242" s="15"/>
      <c r="H242" s="18"/>
      <c r="I242" s="15"/>
      <c r="J242" s="15"/>
    </row>
    <row r="243" customFormat="false" ht="15" hidden="false" customHeight="false" outlineLevel="0" collapsed="false">
      <c r="A243" s="14" t="str">
        <f aca="false">IF(B243="","",ROW()-1)</f>
        <v/>
      </c>
      <c r="B243" s="16"/>
      <c r="C243" s="14" t="str">
        <f aca="false">IF(B243="","",YEAR(B243))</f>
        <v/>
      </c>
      <c r="D243" s="15"/>
      <c r="E243" s="15"/>
      <c r="F243" s="14" t="str">
        <f aca="false">IF(E243="","",IFERROR(INDEX(카테고리!$B$2:$B$8,MATCH(E243,카테고리!$A$2:$A$8,0)),""))</f>
        <v/>
      </c>
      <c r="G243" s="15"/>
      <c r="H243" s="18"/>
      <c r="I243" s="15"/>
      <c r="J243" s="15"/>
    </row>
    <row r="244" customFormat="false" ht="15" hidden="false" customHeight="false" outlineLevel="0" collapsed="false">
      <c r="A244" s="14" t="str">
        <f aca="false">IF(B244="","",ROW()-1)</f>
        <v/>
      </c>
      <c r="B244" s="16"/>
      <c r="C244" s="14" t="str">
        <f aca="false">IF(B244="","",YEAR(B244))</f>
        <v/>
      </c>
      <c r="D244" s="15"/>
      <c r="E244" s="15"/>
      <c r="F244" s="14" t="str">
        <f aca="false">IF(E244="","",IFERROR(INDEX(카테고리!$B$2:$B$8,MATCH(E244,카테고리!$A$2:$A$8,0)),""))</f>
        <v/>
      </c>
      <c r="G244" s="15"/>
      <c r="H244" s="18"/>
      <c r="I244" s="15"/>
      <c r="J244" s="15"/>
    </row>
    <row r="245" customFormat="false" ht="15" hidden="false" customHeight="false" outlineLevel="0" collapsed="false">
      <c r="A245" s="14" t="str">
        <f aca="false">IF(B245="","",ROW()-1)</f>
        <v/>
      </c>
      <c r="B245" s="16"/>
      <c r="C245" s="14" t="str">
        <f aca="false">IF(B245="","",YEAR(B245))</f>
        <v/>
      </c>
      <c r="D245" s="15"/>
      <c r="E245" s="15"/>
      <c r="F245" s="14" t="str">
        <f aca="false">IF(E245="","",IFERROR(INDEX(카테고리!$B$2:$B$8,MATCH(E245,카테고리!$A$2:$A$8,0)),""))</f>
        <v/>
      </c>
      <c r="G245" s="15"/>
      <c r="H245" s="18"/>
      <c r="I245" s="15"/>
      <c r="J245" s="15"/>
    </row>
    <row r="246" customFormat="false" ht="15" hidden="false" customHeight="false" outlineLevel="0" collapsed="false">
      <c r="A246" s="14" t="str">
        <f aca="false">IF(B246="","",ROW()-1)</f>
        <v/>
      </c>
      <c r="B246" s="16"/>
      <c r="C246" s="14" t="str">
        <f aca="false">IF(B246="","",YEAR(B246))</f>
        <v/>
      </c>
      <c r="D246" s="15"/>
      <c r="E246" s="15"/>
      <c r="F246" s="14" t="str">
        <f aca="false">IF(E246="","",IFERROR(INDEX(카테고리!$B$2:$B$8,MATCH(E246,카테고리!$A$2:$A$8,0)),""))</f>
        <v/>
      </c>
      <c r="G246" s="15"/>
      <c r="H246" s="18"/>
      <c r="I246" s="15"/>
      <c r="J246" s="15"/>
    </row>
    <row r="247" customFormat="false" ht="15" hidden="false" customHeight="false" outlineLevel="0" collapsed="false">
      <c r="A247" s="14" t="str">
        <f aca="false">IF(B247="","",ROW()-1)</f>
        <v/>
      </c>
      <c r="B247" s="16"/>
      <c r="C247" s="14" t="str">
        <f aca="false">IF(B247="","",YEAR(B247))</f>
        <v/>
      </c>
      <c r="D247" s="15"/>
      <c r="E247" s="15"/>
      <c r="F247" s="14" t="str">
        <f aca="false">IF(E247="","",IFERROR(INDEX(카테고리!$B$2:$B$8,MATCH(E247,카테고리!$A$2:$A$8,0)),""))</f>
        <v/>
      </c>
      <c r="G247" s="15"/>
      <c r="H247" s="18"/>
      <c r="I247" s="15"/>
      <c r="J247" s="15"/>
    </row>
    <row r="248" customFormat="false" ht="15" hidden="false" customHeight="false" outlineLevel="0" collapsed="false">
      <c r="A248" s="14" t="str">
        <f aca="false">IF(B248="","",ROW()-1)</f>
        <v/>
      </c>
      <c r="B248" s="16"/>
      <c r="C248" s="14" t="str">
        <f aca="false">IF(B248="","",YEAR(B248))</f>
        <v/>
      </c>
      <c r="D248" s="15"/>
      <c r="E248" s="15"/>
      <c r="F248" s="14" t="str">
        <f aca="false">IF(E248="","",IFERROR(INDEX(카테고리!$B$2:$B$8,MATCH(E248,카테고리!$A$2:$A$8,0)),""))</f>
        <v/>
      </c>
      <c r="G248" s="15"/>
      <c r="H248" s="18"/>
      <c r="I248" s="15"/>
      <c r="J248" s="15"/>
    </row>
    <row r="249" customFormat="false" ht="15" hidden="false" customHeight="false" outlineLevel="0" collapsed="false">
      <c r="A249" s="14" t="str">
        <f aca="false">IF(B249="","",ROW()-1)</f>
        <v/>
      </c>
      <c r="B249" s="16"/>
      <c r="C249" s="14" t="str">
        <f aca="false">IF(B249="","",YEAR(B249))</f>
        <v/>
      </c>
      <c r="D249" s="15"/>
      <c r="E249" s="15"/>
      <c r="F249" s="14" t="str">
        <f aca="false">IF(E249="","",IFERROR(INDEX(카테고리!$B$2:$B$8,MATCH(E249,카테고리!$A$2:$A$8,0)),""))</f>
        <v/>
      </c>
      <c r="G249" s="15"/>
      <c r="H249" s="18"/>
      <c r="I249" s="15"/>
      <c r="J249" s="15"/>
    </row>
    <row r="250" customFormat="false" ht="15" hidden="false" customHeight="false" outlineLevel="0" collapsed="false">
      <c r="A250" s="14" t="str">
        <f aca="false">IF(B250="","",ROW()-1)</f>
        <v/>
      </c>
      <c r="B250" s="16"/>
      <c r="C250" s="14" t="str">
        <f aca="false">IF(B250="","",YEAR(B250))</f>
        <v/>
      </c>
      <c r="D250" s="15"/>
      <c r="E250" s="15"/>
      <c r="F250" s="14" t="str">
        <f aca="false">IF(E250="","",IFERROR(INDEX(카테고리!$B$2:$B$8,MATCH(E250,카테고리!$A$2:$A$8,0)),""))</f>
        <v/>
      </c>
      <c r="G250" s="15"/>
      <c r="H250" s="18"/>
      <c r="I250" s="15"/>
      <c r="J250" s="15"/>
    </row>
    <row r="251" customFormat="false" ht="15" hidden="false" customHeight="false" outlineLevel="0" collapsed="false">
      <c r="A251" s="14" t="str">
        <f aca="false">IF(B251="","",ROW()-1)</f>
        <v/>
      </c>
      <c r="B251" s="16"/>
      <c r="C251" s="14" t="str">
        <f aca="false">IF(B251="","",YEAR(B251))</f>
        <v/>
      </c>
      <c r="D251" s="15"/>
      <c r="E251" s="15"/>
      <c r="F251" s="14" t="str">
        <f aca="false">IF(E251="","",IFERROR(INDEX(카테고리!$B$2:$B$8,MATCH(E251,카테고리!$A$2:$A$8,0)),""))</f>
        <v/>
      </c>
      <c r="G251" s="15"/>
      <c r="H251" s="18"/>
      <c r="I251" s="15"/>
      <c r="J251" s="15"/>
    </row>
    <row r="252" customFormat="false" ht="15" hidden="false" customHeight="false" outlineLevel="0" collapsed="false">
      <c r="A252" s="14" t="str">
        <f aca="false">IF(B252="","",ROW()-1)</f>
        <v/>
      </c>
      <c r="B252" s="16"/>
      <c r="C252" s="14" t="str">
        <f aca="false">IF(B252="","",YEAR(B252))</f>
        <v/>
      </c>
      <c r="D252" s="15"/>
      <c r="E252" s="15"/>
      <c r="F252" s="14" t="str">
        <f aca="false">IF(E252="","",IFERROR(INDEX(카테고리!$B$2:$B$8,MATCH(E252,카테고리!$A$2:$A$8,0)),""))</f>
        <v/>
      </c>
      <c r="G252" s="15"/>
      <c r="H252" s="18"/>
      <c r="I252" s="15"/>
      <c r="J252" s="15"/>
    </row>
    <row r="253" customFormat="false" ht="15" hidden="false" customHeight="false" outlineLevel="0" collapsed="false">
      <c r="A253" s="14" t="str">
        <f aca="false">IF(B253="","",ROW()-1)</f>
        <v/>
      </c>
      <c r="B253" s="16"/>
      <c r="C253" s="14" t="str">
        <f aca="false">IF(B253="","",YEAR(B253))</f>
        <v/>
      </c>
      <c r="D253" s="15"/>
      <c r="E253" s="15"/>
      <c r="F253" s="14" t="str">
        <f aca="false">IF(E253="","",IFERROR(INDEX(카테고리!$B$2:$B$8,MATCH(E253,카테고리!$A$2:$A$8,0)),""))</f>
        <v/>
      </c>
      <c r="G253" s="15"/>
      <c r="H253" s="18"/>
      <c r="I253" s="15"/>
      <c r="J253" s="15"/>
    </row>
    <row r="254" customFormat="false" ht="15" hidden="false" customHeight="false" outlineLevel="0" collapsed="false">
      <c r="A254" s="14" t="str">
        <f aca="false">IF(B254="","",ROW()-1)</f>
        <v/>
      </c>
      <c r="B254" s="16"/>
      <c r="C254" s="14" t="str">
        <f aca="false">IF(B254="","",YEAR(B254))</f>
        <v/>
      </c>
      <c r="D254" s="15"/>
      <c r="E254" s="15"/>
      <c r="F254" s="14" t="str">
        <f aca="false">IF(E254="","",IFERROR(INDEX(카테고리!$B$2:$B$8,MATCH(E254,카테고리!$A$2:$A$8,0)),""))</f>
        <v/>
      </c>
      <c r="G254" s="15"/>
      <c r="H254" s="18"/>
      <c r="I254" s="15"/>
      <c r="J254" s="15"/>
    </row>
    <row r="255" customFormat="false" ht="15" hidden="false" customHeight="false" outlineLevel="0" collapsed="false">
      <c r="A255" s="14" t="str">
        <f aca="false">IF(B255="","",ROW()-1)</f>
        <v/>
      </c>
      <c r="B255" s="16"/>
      <c r="C255" s="14" t="str">
        <f aca="false">IF(B255="","",YEAR(B255))</f>
        <v/>
      </c>
      <c r="D255" s="15"/>
      <c r="E255" s="15"/>
      <c r="F255" s="14" t="str">
        <f aca="false">IF(E255="","",IFERROR(INDEX(카테고리!$B$2:$B$8,MATCH(E255,카테고리!$A$2:$A$8,0)),""))</f>
        <v/>
      </c>
      <c r="G255" s="15"/>
      <c r="H255" s="18"/>
      <c r="I255" s="15"/>
      <c r="J255" s="15"/>
    </row>
    <row r="256" customFormat="false" ht="15" hidden="false" customHeight="false" outlineLevel="0" collapsed="false">
      <c r="A256" s="14" t="str">
        <f aca="false">IF(B256="","",ROW()-1)</f>
        <v/>
      </c>
      <c r="B256" s="16"/>
      <c r="C256" s="14" t="str">
        <f aca="false">IF(B256="","",YEAR(B256))</f>
        <v/>
      </c>
      <c r="D256" s="15"/>
      <c r="E256" s="15"/>
      <c r="F256" s="14" t="str">
        <f aca="false">IF(E256="","",IFERROR(INDEX(카테고리!$B$2:$B$8,MATCH(E256,카테고리!$A$2:$A$8,0)),""))</f>
        <v/>
      </c>
      <c r="G256" s="15"/>
      <c r="H256" s="18"/>
      <c r="I256" s="15"/>
      <c r="J256" s="15"/>
    </row>
    <row r="257" customFormat="false" ht="15" hidden="false" customHeight="false" outlineLevel="0" collapsed="false">
      <c r="A257" s="14" t="str">
        <f aca="false">IF(B257="","",ROW()-1)</f>
        <v/>
      </c>
      <c r="B257" s="16"/>
      <c r="C257" s="14" t="str">
        <f aca="false">IF(B257="","",YEAR(B257))</f>
        <v/>
      </c>
      <c r="D257" s="15"/>
      <c r="E257" s="15"/>
      <c r="F257" s="14" t="str">
        <f aca="false">IF(E257="","",IFERROR(INDEX(카테고리!$B$2:$B$8,MATCH(E257,카테고리!$A$2:$A$8,0)),""))</f>
        <v/>
      </c>
      <c r="G257" s="15"/>
      <c r="H257" s="18"/>
      <c r="I257" s="15"/>
      <c r="J257" s="15"/>
    </row>
    <row r="258" customFormat="false" ht="15" hidden="false" customHeight="false" outlineLevel="0" collapsed="false">
      <c r="A258" s="14" t="str">
        <f aca="false">IF(B258="","",ROW()-1)</f>
        <v/>
      </c>
      <c r="B258" s="16"/>
      <c r="C258" s="14" t="str">
        <f aca="false">IF(B258="","",YEAR(B258))</f>
        <v/>
      </c>
      <c r="D258" s="15"/>
      <c r="E258" s="15"/>
      <c r="F258" s="14" t="str">
        <f aca="false">IF(E258="","",IFERROR(INDEX(카테고리!$B$2:$B$8,MATCH(E258,카테고리!$A$2:$A$8,0)),""))</f>
        <v/>
      </c>
      <c r="G258" s="15"/>
      <c r="H258" s="18"/>
      <c r="I258" s="15"/>
      <c r="J258" s="15"/>
    </row>
    <row r="259" customFormat="false" ht="15" hidden="false" customHeight="false" outlineLevel="0" collapsed="false">
      <c r="A259" s="14" t="str">
        <f aca="false">IF(B259="","",ROW()-1)</f>
        <v/>
      </c>
      <c r="B259" s="16"/>
      <c r="C259" s="14" t="str">
        <f aca="false">IF(B259="","",YEAR(B259))</f>
        <v/>
      </c>
      <c r="D259" s="15"/>
      <c r="E259" s="15"/>
      <c r="F259" s="14" t="str">
        <f aca="false">IF(E259="","",IFERROR(INDEX(카테고리!$B$2:$B$8,MATCH(E259,카테고리!$A$2:$A$8,0)),""))</f>
        <v/>
      </c>
      <c r="G259" s="15"/>
      <c r="H259" s="18"/>
      <c r="I259" s="15"/>
      <c r="J259" s="15"/>
    </row>
    <row r="260" customFormat="false" ht="15" hidden="false" customHeight="false" outlineLevel="0" collapsed="false">
      <c r="A260" s="14" t="str">
        <f aca="false">IF(B260="","",ROW()-1)</f>
        <v/>
      </c>
      <c r="B260" s="16"/>
      <c r="C260" s="14" t="str">
        <f aca="false">IF(B260="","",YEAR(B260))</f>
        <v/>
      </c>
      <c r="D260" s="15"/>
      <c r="E260" s="15"/>
      <c r="F260" s="14" t="str">
        <f aca="false">IF(E260="","",IFERROR(INDEX(카테고리!$B$2:$B$8,MATCH(E260,카테고리!$A$2:$A$8,0)),""))</f>
        <v/>
      </c>
      <c r="G260" s="15"/>
      <c r="H260" s="18"/>
      <c r="I260" s="15"/>
      <c r="J260" s="15"/>
    </row>
    <row r="261" customFormat="false" ht="15" hidden="false" customHeight="false" outlineLevel="0" collapsed="false">
      <c r="A261" s="14" t="str">
        <f aca="false">IF(B261="","",ROW()-1)</f>
        <v/>
      </c>
      <c r="B261" s="16"/>
      <c r="C261" s="14" t="str">
        <f aca="false">IF(B261="","",YEAR(B261))</f>
        <v/>
      </c>
      <c r="D261" s="15"/>
      <c r="E261" s="15"/>
      <c r="F261" s="14" t="str">
        <f aca="false">IF(E261="","",IFERROR(INDEX(카테고리!$B$2:$B$8,MATCH(E261,카테고리!$A$2:$A$8,0)),""))</f>
        <v/>
      </c>
      <c r="G261" s="15"/>
      <c r="H261" s="18"/>
      <c r="I261" s="15"/>
      <c r="J261" s="15"/>
    </row>
    <row r="262" customFormat="false" ht="15" hidden="false" customHeight="false" outlineLevel="0" collapsed="false">
      <c r="A262" s="14" t="str">
        <f aca="false">IF(B262="","",ROW()-1)</f>
        <v/>
      </c>
      <c r="B262" s="16"/>
      <c r="C262" s="14" t="str">
        <f aca="false">IF(B262="","",YEAR(B262))</f>
        <v/>
      </c>
      <c r="D262" s="15"/>
      <c r="E262" s="15"/>
      <c r="F262" s="14" t="str">
        <f aca="false">IF(E262="","",IFERROR(INDEX(카테고리!$B$2:$B$8,MATCH(E262,카테고리!$A$2:$A$8,0)),""))</f>
        <v/>
      </c>
      <c r="G262" s="15"/>
      <c r="H262" s="18"/>
      <c r="I262" s="15"/>
      <c r="J262" s="15"/>
    </row>
    <row r="263" customFormat="false" ht="15" hidden="false" customHeight="false" outlineLevel="0" collapsed="false">
      <c r="A263" s="14" t="str">
        <f aca="false">IF(B263="","",ROW()-1)</f>
        <v/>
      </c>
      <c r="B263" s="16"/>
      <c r="C263" s="14" t="str">
        <f aca="false">IF(B263="","",YEAR(B263))</f>
        <v/>
      </c>
      <c r="D263" s="15"/>
      <c r="E263" s="15"/>
      <c r="F263" s="14" t="str">
        <f aca="false">IF(E263="","",IFERROR(INDEX(카테고리!$B$2:$B$8,MATCH(E263,카테고리!$A$2:$A$8,0)),""))</f>
        <v/>
      </c>
      <c r="G263" s="15"/>
      <c r="H263" s="18"/>
      <c r="I263" s="15"/>
      <c r="J263" s="15"/>
    </row>
    <row r="264" customFormat="false" ht="15" hidden="false" customHeight="false" outlineLevel="0" collapsed="false">
      <c r="A264" s="14" t="str">
        <f aca="false">IF(B264="","",ROW()-1)</f>
        <v/>
      </c>
      <c r="B264" s="16"/>
      <c r="C264" s="14" t="str">
        <f aca="false">IF(B264="","",YEAR(B264))</f>
        <v/>
      </c>
      <c r="D264" s="15"/>
      <c r="E264" s="15"/>
      <c r="F264" s="14" t="str">
        <f aca="false">IF(E264="","",IFERROR(INDEX(카테고리!$B$2:$B$8,MATCH(E264,카테고리!$A$2:$A$8,0)),""))</f>
        <v/>
      </c>
      <c r="G264" s="15"/>
      <c r="H264" s="18"/>
      <c r="I264" s="15"/>
      <c r="J264" s="15"/>
    </row>
    <row r="265" customFormat="false" ht="15" hidden="false" customHeight="false" outlineLevel="0" collapsed="false">
      <c r="A265" s="14" t="str">
        <f aca="false">IF(B265="","",ROW()-1)</f>
        <v/>
      </c>
      <c r="B265" s="16"/>
      <c r="C265" s="14" t="str">
        <f aca="false">IF(B265="","",YEAR(B265))</f>
        <v/>
      </c>
      <c r="D265" s="15"/>
      <c r="E265" s="15"/>
      <c r="F265" s="14" t="str">
        <f aca="false">IF(E265="","",IFERROR(INDEX(카테고리!$B$2:$B$8,MATCH(E265,카테고리!$A$2:$A$8,0)),""))</f>
        <v/>
      </c>
      <c r="G265" s="15"/>
      <c r="H265" s="18"/>
      <c r="I265" s="15"/>
      <c r="J265" s="15"/>
    </row>
    <row r="266" customFormat="false" ht="15" hidden="false" customHeight="false" outlineLevel="0" collapsed="false">
      <c r="A266" s="14" t="str">
        <f aca="false">IF(B266="","",ROW()-1)</f>
        <v/>
      </c>
      <c r="B266" s="16"/>
      <c r="C266" s="14" t="str">
        <f aca="false">IF(B266="","",YEAR(B266))</f>
        <v/>
      </c>
      <c r="D266" s="15"/>
      <c r="E266" s="15"/>
      <c r="F266" s="14" t="str">
        <f aca="false">IF(E266="","",IFERROR(INDEX(카테고리!$B$2:$B$8,MATCH(E266,카테고리!$A$2:$A$8,0)),""))</f>
        <v/>
      </c>
      <c r="G266" s="15"/>
      <c r="H266" s="18"/>
      <c r="I266" s="15"/>
      <c r="J266" s="15"/>
    </row>
    <row r="267" customFormat="false" ht="15" hidden="false" customHeight="false" outlineLevel="0" collapsed="false">
      <c r="A267" s="14" t="str">
        <f aca="false">IF(B267="","",ROW()-1)</f>
        <v/>
      </c>
      <c r="B267" s="16"/>
      <c r="C267" s="14" t="str">
        <f aca="false">IF(B267="","",YEAR(B267))</f>
        <v/>
      </c>
      <c r="D267" s="15"/>
      <c r="E267" s="15"/>
      <c r="F267" s="14" t="str">
        <f aca="false">IF(E267="","",IFERROR(INDEX(카테고리!$B$2:$B$8,MATCH(E267,카테고리!$A$2:$A$8,0)),""))</f>
        <v/>
      </c>
      <c r="G267" s="15"/>
      <c r="H267" s="18"/>
      <c r="I267" s="15"/>
      <c r="J267" s="15"/>
    </row>
    <row r="268" customFormat="false" ht="15" hidden="false" customHeight="false" outlineLevel="0" collapsed="false">
      <c r="A268" s="14" t="str">
        <f aca="false">IF(B268="","",ROW()-1)</f>
        <v/>
      </c>
      <c r="B268" s="16"/>
      <c r="C268" s="14" t="str">
        <f aca="false">IF(B268="","",YEAR(B268))</f>
        <v/>
      </c>
      <c r="D268" s="15"/>
      <c r="E268" s="15"/>
      <c r="F268" s="14" t="str">
        <f aca="false">IF(E268="","",IFERROR(INDEX(카테고리!$B$2:$B$8,MATCH(E268,카테고리!$A$2:$A$8,0)),""))</f>
        <v/>
      </c>
      <c r="G268" s="15"/>
      <c r="H268" s="18"/>
      <c r="I268" s="15"/>
      <c r="J268" s="15"/>
    </row>
    <row r="269" customFormat="false" ht="15" hidden="false" customHeight="false" outlineLevel="0" collapsed="false">
      <c r="A269" s="14" t="str">
        <f aca="false">IF(B269="","",ROW()-1)</f>
        <v/>
      </c>
      <c r="B269" s="16"/>
      <c r="C269" s="14" t="str">
        <f aca="false">IF(B269="","",YEAR(B269))</f>
        <v/>
      </c>
      <c r="D269" s="15"/>
      <c r="E269" s="15"/>
      <c r="F269" s="14" t="str">
        <f aca="false">IF(E269="","",IFERROR(INDEX(카테고리!$B$2:$B$8,MATCH(E269,카테고리!$A$2:$A$8,0)),""))</f>
        <v/>
      </c>
      <c r="G269" s="15"/>
      <c r="H269" s="18"/>
      <c r="I269" s="15"/>
      <c r="J269" s="15"/>
    </row>
    <row r="270" customFormat="false" ht="15" hidden="false" customHeight="false" outlineLevel="0" collapsed="false">
      <c r="A270" s="14" t="str">
        <f aca="false">IF(B270="","",ROW()-1)</f>
        <v/>
      </c>
      <c r="B270" s="16"/>
      <c r="C270" s="14" t="str">
        <f aca="false">IF(B270="","",YEAR(B270))</f>
        <v/>
      </c>
      <c r="D270" s="15"/>
      <c r="E270" s="15"/>
      <c r="F270" s="14" t="str">
        <f aca="false">IF(E270="","",IFERROR(INDEX(카테고리!$B$2:$B$8,MATCH(E270,카테고리!$A$2:$A$8,0)),""))</f>
        <v/>
      </c>
      <c r="G270" s="15"/>
      <c r="H270" s="18"/>
      <c r="I270" s="15"/>
      <c r="J270" s="15"/>
    </row>
    <row r="271" customFormat="false" ht="15" hidden="false" customHeight="false" outlineLevel="0" collapsed="false">
      <c r="A271" s="14" t="str">
        <f aca="false">IF(B271="","",ROW()-1)</f>
        <v/>
      </c>
      <c r="B271" s="16"/>
      <c r="C271" s="14" t="str">
        <f aca="false">IF(B271="","",YEAR(B271))</f>
        <v/>
      </c>
      <c r="D271" s="15"/>
      <c r="E271" s="15"/>
      <c r="F271" s="14" t="str">
        <f aca="false">IF(E271="","",IFERROR(INDEX(카테고리!$B$2:$B$8,MATCH(E271,카테고리!$A$2:$A$8,0)),""))</f>
        <v/>
      </c>
      <c r="G271" s="15"/>
      <c r="H271" s="18"/>
      <c r="I271" s="15"/>
      <c r="J271" s="15"/>
    </row>
    <row r="272" customFormat="false" ht="15" hidden="false" customHeight="false" outlineLevel="0" collapsed="false">
      <c r="A272" s="14" t="str">
        <f aca="false">IF(B272="","",ROW()-1)</f>
        <v/>
      </c>
      <c r="B272" s="16"/>
      <c r="C272" s="14" t="str">
        <f aca="false">IF(B272="","",YEAR(B272))</f>
        <v/>
      </c>
      <c r="D272" s="15"/>
      <c r="E272" s="15"/>
      <c r="F272" s="14" t="str">
        <f aca="false">IF(E272="","",IFERROR(INDEX(카테고리!$B$2:$B$8,MATCH(E272,카테고리!$A$2:$A$8,0)),""))</f>
        <v/>
      </c>
      <c r="G272" s="15"/>
      <c r="H272" s="18"/>
      <c r="I272" s="15"/>
      <c r="J272" s="15"/>
    </row>
    <row r="273" customFormat="false" ht="15" hidden="false" customHeight="false" outlineLevel="0" collapsed="false">
      <c r="A273" s="14" t="str">
        <f aca="false">IF(B273="","",ROW()-1)</f>
        <v/>
      </c>
      <c r="B273" s="16"/>
      <c r="C273" s="14" t="str">
        <f aca="false">IF(B273="","",YEAR(B273))</f>
        <v/>
      </c>
      <c r="D273" s="15"/>
      <c r="E273" s="15"/>
      <c r="F273" s="14" t="str">
        <f aca="false">IF(E273="","",IFERROR(INDEX(카테고리!$B$2:$B$8,MATCH(E273,카테고리!$A$2:$A$8,0)),""))</f>
        <v/>
      </c>
      <c r="G273" s="15"/>
      <c r="H273" s="18"/>
      <c r="I273" s="15"/>
      <c r="J273" s="15"/>
    </row>
    <row r="274" customFormat="false" ht="15" hidden="false" customHeight="false" outlineLevel="0" collapsed="false">
      <c r="A274" s="14" t="str">
        <f aca="false">IF(B274="","",ROW()-1)</f>
        <v/>
      </c>
      <c r="B274" s="16"/>
      <c r="C274" s="14" t="str">
        <f aca="false">IF(B274="","",YEAR(B274))</f>
        <v/>
      </c>
      <c r="D274" s="15"/>
      <c r="E274" s="15"/>
      <c r="F274" s="14" t="str">
        <f aca="false">IF(E274="","",IFERROR(INDEX(카테고리!$B$2:$B$8,MATCH(E274,카테고리!$A$2:$A$8,0)),""))</f>
        <v/>
      </c>
      <c r="G274" s="15"/>
      <c r="H274" s="18"/>
      <c r="I274" s="15"/>
      <c r="J274" s="15"/>
    </row>
    <row r="275" customFormat="false" ht="15" hidden="false" customHeight="false" outlineLevel="0" collapsed="false">
      <c r="A275" s="14" t="str">
        <f aca="false">IF(B275="","",ROW()-1)</f>
        <v/>
      </c>
      <c r="B275" s="16"/>
      <c r="C275" s="14" t="str">
        <f aca="false">IF(B275="","",YEAR(B275))</f>
        <v/>
      </c>
      <c r="D275" s="15"/>
      <c r="E275" s="15"/>
      <c r="F275" s="14" t="str">
        <f aca="false">IF(E275="","",IFERROR(INDEX(카테고리!$B$2:$B$8,MATCH(E275,카테고리!$A$2:$A$8,0)),""))</f>
        <v/>
      </c>
      <c r="G275" s="15"/>
      <c r="H275" s="18"/>
      <c r="I275" s="15"/>
      <c r="J275" s="15"/>
    </row>
    <row r="276" customFormat="false" ht="15" hidden="false" customHeight="false" outlineLevel="0" collapsed="false">
      <c r="A276" s="14" t="str">
        <f aca="false">IF(B276="","",ROW()-1)</f>
        <v/>
      </c>
      <c r="B276" s="16"/>
      <c r="C276" s="14" t="str">
        <f aca="false">IF(B276="","",YEAR(B276))</f>
        <v/>
      </c>
      <c r="D276" s="15"/>
      <c r="E276" s="15"/>
      <c r="F276" s="14" t="str">
        <f aca="false">IF(E276="","",IFERROR(INDEX(카테고리!$B$2:$B$8,MATCH(E276,카테고리!$A$2:$A$8,0)),""))</f>
        <v/>
      </c>
      <c r="G276" s="15"/>
      <c r="H276" s="18"/>
      <c r="I276" s="15"/>
      <c r="J276" s="15"/>
    </row>
    <row r="277" customFormat="false" ht="15" hidden="false" customHeight="false" outlineLevel="0" collapsed="false">
      <c r="A277" s="14" t="str">
        <f aca="false">IF(B277="","",ROW()-1)</f>
        <v/>
      </c>
      <c r="B277" s="16"/>
      <c r="C277" s="14" t="str">
        <f aca="false">IF(B277="","",YEAR(B277))</f>
        <v/>
      </c>
      <c r="D277" s="15"/>
      <c r="E277" s="15"/>
      <c r="F277" s="14" t="str">
        <f aca="false">IF(E277="","",IFERROR(INDEX(카테고리!$B$2:$B$8,MATCH(E277,카테고리!$A$2:$A$8,0)),""))</f>
        <v/>
      </c>
      <c r="G277" s="15"/>
      <c r="H277" s="18"/>
      <c r="I277" s="15"/>
      <c r="J277" s="15"/>
    </row>
    <row r="278" customFormat="false" ht="15" hidden="false" customHeight="false" outlineLevel="0" collapsed="false">
      <c r="A278" s="14" t="str">
        <f aca="false">IF(B278="","",ROW()-1)</f>
        <v/>
      </c>
      <c r="B278" s="16"/>
      <c r="C278" s="14" t="str">
        <f aca="false">IF(B278="","",YEAR(B278))</f>
        <v/>
      </c>
      <c r="D278" s="15"/>
      <c r="E278" s="15"/>
      <c r="F278" s="14" t="str">
        <f aca="false">IF(E278="","",IFERROR(INDEX(카테고리!$B$2:$B$8,MATCH(E278,카테고리!$A$2:$A$8,0)),""))</f>
        <v/>
      </c>
      <c r="G278" s="15"/>
      <c r="H278" s="18"/>
      <c r="I278" s="15"/>
      <c r="J278" s="15"/>
    </row>
    <row r="279" customFormat="false" ht="15" hidden="false" customHeight="false" outlineLevel="0" collapsed="false">
      <c r="A279" s="14" t="str">
        <f aca="false">IF(B279="","",ROW()-1)</f>
        <v/>
      </c>
      <c r="B279" s="16"/>
      <c r="C279" s="14" t="str">
        <f aca="false">IF(B279="","",YEAR(B279))</f>
        <v/>
      </c>
      <c r="D279" s="15"/>
      <c r="E279" s="15"/>
      <c r="F279" s="14" t="str">
        <f aca="false">IF(E279="","",IFERROR(INDEX(카테고리!$B$2:$B$8,MATCH(E279,카테고리!$A$2:$A$8,0)),""))</f>
        <v/>
      </c>
      <c r="G279" s="15"/>
      <c r="H279" s="18"/>
      <c r="I279" s="15"/>
      <c r="J279" s="15"/>
    </row>
    <row r="280" customFormat="false" ht="15" hidden="false" customHeight="false" outlineLevel="0" collapsed="false">
      <c r="A280" s="14" t="str">
        <f aca="false">IF(B280="","",ROW()-1)</f>
        <v/>
      </c>
      <c r="B280" s="16"/>
      <c r="C280" s="14" t="str">
        <f aca="false">IF(B280="","",YEAR(B280))</f>
        <v/>
      </c>
      <c r="D280" s="15"/>
      <c r="E280" s="15"/>
      <c r="F280" s="14" t="str">
        <f aca="false">IF(E280="","",IFERROR(INDEX(카테고리!$B$2:$B$8,MATCH(E280,카테고리!$A$2:$A$8,0)),""))</f>
        <v/>
      </c>
      <c r="G280" s="15"/>
      <c r="H280" s="18"/>
      <c r="I280" s="15"/>
      <c r="J280" s="15"/>
    </row>
    <row r="281" customFormat="false" ht="15" hidden="false" customHeight="false" outlineLevel="0" collapsed="false">
      <c r="A281" s="14" t="str">
        <f aca="false">IF(B281="","",ROW()-1)</f>
        <v/>
      </c>
      <c r="B281" s="16"/>
      <c r="C281" s="14" t="str">
        <f aca="false">IF(B281="","",YEAR(B281))</f>
        <v/>
      </c>
      <c r="D281" s="15"/>
      <c r="E281" s="15"/>
      <c r="F281" s="14" t="str">
        <f aca="false">IF(E281="","",IFERROR(INDEX(카테고리!$B$2:$B$8,MATCH(E281,카테고리!$A$2:$A$8,0)),""))</f>
        <v/>
      </c>
      <c r="G281" s="15"/>
      <c r="H281" s="18"/>
      <c r="I281" s="15"/>
      <c r="J281" s="15"/>
    </row>
    <row r="282" customFormat="false" ht="15" hidden="false" customHeight="false" outlineLevel="0" collapsed="false">
      <c r="A282" s="14" t="str">
        <f aca="false">IF(B282="","",ROW()-1)</f>
        <v/>
      </c>
      <c r="B282" s="16"/>
      <c r="C282" s="14" t="str">
        <f aca="false">IF(B282="","",YEAR(B282))</f>
        <v/>
      </c>
      <c r="D282" s="15"/>
      <c r="E282" s="15"/>
      <c r="F282" s="14" t="str">
        <f aca="false">IF(E282="","",IFERROR(INDEX(카테고리!$B$2:$B$8,MATCH(E282,카테고리!$A$2:$A$8,0)),""))</f>
        <v/>
      </c>
      <c r="G282" s="15"/>
      <c r="H282" s="18"/>
      <c r="I282" s="15"/>
      <c r="J282" s="15"/>
    </row>
    <row r="283" customFormat="false" ht="15" hidden="false" customHeight="false" outlineLevel="0" collapsed="false">
      <c r="A283" s="14" t="str">
        <f aca="false">IF(B283="","",ROW()-1)</f>
        <v/>
      </c>
      <c r="B283" s="16"/>
      <c r="C283" s="14" t="str">
        <f aca="false">IF(B283="","",YEAR(B283))</f>
        <v/>
      </c>
      <c r="D283" s="15"/>
      <c r="E283" s="15"/>
      <c r="F283" s="14" t="str">
        <f aca="false">IF(E283="","",IFERROR(INDEX(카테고리!$B$2:$B$8,MATCH(E283,카테고리!$A$2:$A$8,0)),""))</f>
        <v/>
      </c>
      <c r="G283" s="15"/>
      <c r="H283" s="18"/>
      <c r="I283" s="15"/>
      <c r="J283" s="15"/>
    </row>
    <row r="284" customFormat="false" ht="15" hidden="false" customHeight="false" outlineLevel="0" collapsed="false">
      <c r="A284" s="14" t="str">
        <f aca="false">IF(B284="","",ROW()-1)</f>
        <v/>
      </c>
      <c r="B284" s="16"/>
      <c r="C284" s="14" t="str">
        <f aca="false">IF(B284="","",YEAR(B284))</f>
        <v/>
      </c>
      <c r="D284" s="15"/>
      <c r="E284" s="15"/>
      <c r="F284" s="14" t="str">
        <f aca="false">IF(E284="","",IFERROR(INDEX(카테고리!$B$2:$B$8,MATCH(E284,카테고리!$A$2:$A$8,0)),""))</f>
        <v/>
      </c>
      <c r="G284" s="15"/>
      <c r="H284" s="18"/>
      <c r="I284" s="15"/>
      <c r="J284" s="15"/>
    </row>
    <row r="285" customFormat="false" ht="15" hidden="false" customHeight="false" outlineLevel="0" collapsed="false">
      <c r="A285" s="14" t="str">
        <f aca="false">IF(B285="","",ROW()-1)</f>
        <v/>
      </c>
      <c r="B285" s="16"/>
      <c r="C285" s="14" t="str">
        <f aca="false">IF(B285="","",YEAR(B285))</f>
        <v/>
      </c>
      <c r="D285" s="15"/>
      <c r="E285" s="15"/>
      <c r="F285" s="14" t="str">
        <f aca="false">IF(E285="","",IFERROR(INDEX(카테고리!$B$2:$B$8,MATCH(E285,카테고리!$A$2:$A$8,0)),""))</f>
        <v/>
      </c>
      <c r="G285" s="15"/>
      <c r="H285" s="18"/>
      <c r="I285" s="15"/>
      <c r="J285" s="15"/>
    </row>
    <row r="286" customFormat="false" ht="15" hidden="false" customHeight="false" outlineLevel="0" collapsed="false">
      <c r="A286" s="14" t="str">
        <f aca="false">IF(B286="","",ROW()-1)</f>
        <v/>
      </c>
      <c r="B286" s="16"/>
      <c r="C286" s="14" t="str">
        <f aca="false">IF(B286="","",YEAR(B286))</f>
        <v/>
      </c>
      <c r="D286" s="15"/>
      <c r="E286" s="15"/>
      <c r="F286" s="14" t="str">
        <f aca="false">IF(E286="","",IFERROR(INDEX(카테고리!$B$2:$B$8,MATCH(E286,카테고리!$A$2:$A$8,0)),""))</f>
        <v/>
      </c>
      <c r="G286" s="15"/>
      <c r="H286" s="18"/>
      <c r="I286" s="15"/>
      <c r="J286" s="15"/>
    </row>
    <row r="287" customFormat="false" ht="15" hidden="false" customHeight="false" outlineLevel="0" collapsed="false">
      <c r="A287" s="14" t="str">
        <f aca="false">IF(B287="","",ROW()-1)</f>
        <v/>
      </c>
      <c r="B287" s="16"/>
      <c r="C287" s="14" t="str">
        <f aca="false">IF(B287="","",YEAR(B287))</f>
        <v/>
      </c>
      <c r="D287" s="15"/>
      <c r="E287" s="15"/>
      <c r="F287" s="14" t="str">
        <f aca="false">IF(E287="","",IFERROR(INDEX(카테고리!$B$2:$B$8,MATCH(E287,카테고리!$A$2:$A$8,0)),""))</f>
        <v/>
      </c>
      <c r="G287" s="15"/>
      <c r="H287" s="18"/>
      <c r="I287" s="15"/>
      <c r="J287" s="15"/>
    </row>
    <row r="288" customFormat="false" ht="15" hidden="false" customHeight="false" outlineLevel="0" collapsed="false">
      <c r="A288" s="14" t="str">
        <f aca="false">IF(B288="","",ROW()-1)</f>
        <v/>
      </c>
      <c r="B288" s="16"/>
      <c r="C288" s="14" t="str">
        <f aca="false">IF(B288="","",YEAR(B288))</f>
        <v/>
      </c>
      <c r="D288" s="15"/>
      <c r="E288" s="15"/>
      <c r="F288" s="14" t="str">
        <f aca="false">IF(E288="","",IFERROR(INDEX(카테고리!$B$2:$B$8,MATCH(E288,카테고리!$A$2:$A$8,0)),""))</f>
        <v/>
      </c>
      <c r="G288" s="15"/>
      <c r="H288" s="18"/>
      <c r="I288" s="15"/>
      <c r="J288" s="15"/>
    </row>
    <row r="289" customFormat="false" ht="15" hidden="false" customHeight="false" outlineLevel="0" collapsed="false">
      <c r="A289" s="14" t="str">
        <f aca="false">IF(B289="","",ROW()-1)</f>
        <v/>
      </c>
      <c r="B289" s="16"/>
      <c r="C289" s="14" t="str">
        <f aca="false">IF(B289="","",YEAR(B289))</f>
        <v/>
      </c>
      <c r="D289" s="15"/>
      <c r="E289" s="15"/>
      <c r="F289" s="14" t="str">
        <f aca="false">IF(E289="","",IFERROR(INDEX(카테고리!$B$2:$B$8,MATCH(E289,카테고리!$A$2:$A$8,0)),""))</f>
        <v/>
      </c>
      <c r="G289" s="15"/>
      <c r="H289" s="18"/>
      <c r="I289" s="15"/>
      <c r="J289" s="15"/>
    </row>
    <row r="290" customFormat="false" ht="15" hidden="false" customHeight="false" outlineLevel="0" collapsed="false">
      <c r="A290" s="14" t="str">
        <f aca="false">IF(B290="","",ROW()-1)</f>
        <v/>
      </c>
      <c r="B290" s="16"/>
      <c r="C290" s="14" t="str">
        <f aca="false">IF(B290="","",YEAR(B290))</f>
        <v/>
      </c>
      <c r="D290" s="15"/>
      <c r="E290" s="15"/>
      <c r="F290" s="14" t="str">
        <f aca="false">IF(E290="","",IFERROR(INDEX(카테고리!$B$2:$B$8,MATCH(E290,카테고리!$A$2:$A$8,0)),""))</f>
        <v/>
      </c>
      <c r="G290" s="15"/>
      <c r="H290" s="18"/>
      <c r="I290" s="15"/>
      <c r="J290" s="15"/>
    </row>
    <row r="291" customFormat="false" ht="15" hidden="false" customHeight="false" outlineLevel="0" collapsed="false">
      <c r="A291" s="14" t="str">
        <f aca="false">IF(B291="","",ROW()-1)</f>
        <v/>
      </c>
      <c r="B291" s="16"/>
      <c r="C291" s="14" t="str">
        <f aca="false">IF(B291="","",YEAR(B291))</f>
        <v/>
      </c>
      <c r="D291" s="15"/>
      <c r="E291" s="15"/>
      <c r="F291" s="14" t="str">
        <f aca="false">IF(E291="","",IFERROR(INDEX(카테고리!$B$2:$B$8,MATCH(E291,카테고리!$A$2:$A$8,0)),""))</f>
        <v/>
      </c>
      <c r="G291" s="15"/>
      <c r="H291" s="18"/>
      <c r="I291" s="15"/>
      <c r="J291" s="15"/>
    </row>
    <row r="292" customFormat="false" ht="15" hidden="false" customHeight="false" outlineLevel="0" collapsed="false">
      <c r="A292" s="14" t="str">
        <f aca="false">IF(B292="","",ROW()-1)</f>
        <v/>
      </c>
      <c r="B292" s="16"/>
      <c r="C292" s="14" t="str">
        <f aca="false">IF(B292="","",YEAR(B292))</f>
        <v/>
      </c>
      <c r="D292" s="15"/>
      <c r="E292" s="15"/>
      <c r="F292" s="14" t="str">
        <f aca="false">IF(E292="","",IFERROR(INDEX(카테고리!$B$2:$B$8,MATCH(E292,카테고리!$A$2:$A$8,0)),""))</f>
        <v/>
      </c>
      <c r="G292" s="15"/>
      <c r="H292" s="18"/>
      <c r="I292" s="15"/>
      <c r="J292" s="15"/>
    </row>
    <row r="293" customFormat="false" ht="15" hidden="false" customHeight="false" outlineLevel="0" collapsed="false">
      <c r="A293" s="14" t="str">
        <f aca="false">IF(B293="","",ROW()-1)</f>
        <v/>
      </c>
      <c r="B293" s="16"/>
      <c r="C293" s="14" t="str">
        <f aca="false">IF(B293="","",YEAR(B293))</f>
        <v/>
      </c>
      <c r="D293" s="15"/>
      <c r="E293" s="15"/>
      <c r="F293" s="14" t="str">
        <f aca="false">IF(E293="","",IFERROR(INDEX(카테고리!$B$2:$B$8,MATCH(E293,카테고리!$A$2:$A$8,0)),""))</f>
        <v/>
      </c>
      <c r="G293" s="15"/>
      <c r="H293" s="18"/>
      <c r="I293" s="15"/>
      <c r="J293" s="15"/>
    </row>
    <row r="294" customFormat="false" ht="15" hidden="false" customHeight="false" outlineLevel="0" collapsed="false">
      <c r="A294" s="14" t="str">
        <f aca="false">IF(B294="","",ROW()-1)</f>
        <v/>
      </c>
      <c r="B294" s="16"/>
      <c r="C294" s="14" t="str">
        <f aca="false">IF(B294="","",YEAR(B294))</f>
        <v/>
      </c>
      <c r="D294" s="15"/>
      <c r="E294" s="15"/>
      <c r="F294" s="14" t="str">
        <f aca="false">IF(E294="","",IFERROR(INDEX(카테고리!$B$2:$B$8,MATCH(E294,카테고리!$A$2:$A$8,0)),""))</f>
        <v/>
      </c>
      <c r="G294" s="15"/>
      <c r="H294" s="18"/>
      <c r="I294" s="15"/>
      <c r="J294" s="15"/>
    </row>
    <row r="295" customFormat="false" ht="15" hidden="false" customHeight="false" outlineLevel="0" collapsed="false">
      <c r="A295" s="14" t="str">
        <f aca="false">IF(B295="","",ROW()-1)</f>
        <v/>
      </c>
      <c r="B295" s="16"/>
      <c r="C295" s="14" t="str">
        <f aca="false">IF(B295="","",YEAR(B295))</f>
        <v/>
      </c>
      <c r="D295" s="15"/>
      <c r="E295" s="15"/>
      <c r="F295" s="14" t="str">
        <f aca="false">IF(E295="","",IFERROR(INDEX(카테고리!$B$2:$B$8,MATCH(E295,카테고리!$A$2:$A$8,0)),""))</f>
        <v/>
      </c>
      <c r="G295" s="15"/>
      <c r="H295" s="18"/>
      <c r="I295" s="15"/>
      <c r="J295" s="15"/>
    </row>
    <row r="296" customFormat="false" ht="15" hidden="false" customHeight="false" outlineLevel="0" collapsed="false">
      <c r="A296" s="14" t="str">
        <f aca="false">IF(B296="","",ROW()-1)</f>
        <v/>
      </c>
      <c r="B296" s="16"/>
      <c r="C296" s="14" t="str">
        <f aca="false">IF(B296="","",YEAR(B296))</f>
        <v/>
      </c>
      <c r="D296" s="15"/>
      <c r="E296" s="15"/>
      <c r="F296" s="14" t="str">
        <f aca="false">IF(E296="","",IFERROR(INDEX(카테고리!$B$2:$B$8,MATCH(E296,카테고리!$A$2:$A$8,0)),""))</f>
        <v/>
      </c>
      <c r="G296" s="15"/>
      <c r="H296" s="18"/>
      <c r="I296" s="15"/>
      <c r="J296" s="15"/>
    </row>
    <row r="297" customFormat="false" ht="15" hidden="false" customHeight="false" outlineLevel="0" collapsed="false">
      <c r="A297" s="14" t="str">
        <f aca="false">IF(B297="","",ROW()-1)</f>
        <v/>
      </c>
      <c r="B297" s="16"/>
      <c r="C297" s="14" t="str">
        <f aca="false">IF(B297="","",YEAR(B297))</f>
        <v/>
      </c>
      <c r="D297" s="15"/>
      <c r="E297" s="15"/>
      <c r="F297" s="14" t="str">
        <f aca="false">IF(E297="","",IFERROR(INDEX(카테고리!$B$2:$B$8,MATCH(E297,카테고리!$A$2:$A$8,0)),""))</f>
        <v/>
      </c>
      <c r="G297" s="15"/>
      <c r="H297" s="18"/>
      <c r="I297" s="15"/>
      <c r="J297" s="15"/>
    </row>
    <row r="298" customFormat="false" ht="15" hidden="false" customHeight="false" outlineLevel="0" collapsed="false">
      <c r="A298" s="14" t="str">
        <f aca="false">IF(B298="","",ROW()-1)</f>
        <v/>
      </c>
      <c r="B298" s="16"/>
      <c r="C298" s="14" t="str">
        <f aca="false">IF(B298="","",YEAR(B298))</f>
        <v/>
      </c>
      <c r="D298" s="15"/>
      <c r="E298" s="15"/>
      <c r="F298" s="14" t="str">
        <f aca="false">IF(E298="","",IFERROR(INDEX(카테고리!$B$2:$B$8,MATCH(E298,카테고리!$A$2:$A$8,0)),""))</f>
        <v/>
      </c>
      <c r="G298" s="15"/>
      <c r="H298" s="18"/>
      <c r="I298" s="15"/>
      <c r="J298" s="15"/>
    </row>
    <row r="299" customFormat="false" ht="15" hidden="false" customHeight="false" outlineLevel="0" collapsed="false">
      <c r="A299" s="14" t="str">
        <f aca="false">IF(B299="","",ROW()-1)</f>
        <v/>
      </c>
      <c r="B299" s="16"/>
      <c r="C299" s="14" t="str">
        <f aca="false">IF(B299="","",YEAR(B299))</f>
        <v/>
      </c>
      <c r="D299" s="15"/>
      <c r="E299" s="15"/>
      <c r="F299" s="14" t="str">
        <f aca="false">IF(E299="","",IFERROR(INDEX(카테고리!$B$2:$B$8,MATCH(E299,카테고리!$A$2:$A$8,0)),""))</f>
        <v/>
      </c>
      <c r="G299" s="15"/>
      <c r="H299" s="18"/>
      <c r="I299" s="15"/>
      <c r="J299" s="15"/>
    </row>
    <row r="300" customFormat="false" ht="15" hidden="false" customHeight="false" outlineLevel="0" collapsed="false">
      <c r="A300" s="14" t="str">
        <f aca="false">IF(B300="","",ROW()-1)</f>
        <v/>
      </c>
      <c r="B300" s="16"/>
      <c r="C300" s="14" t="str">
        <f aca="false">IF(B300="","",YEAR(B300))</f>
        <v/>
      </c>
      <c r="D300" s="15"/>
      <c r="E300" s="15"/>
      <c r="F300" s="14" t="str">
        <f aca="false">IF(E300="","",IFERROR(INDEX(카테고리!$B$2:$B$8,MATCH(E300,카테고리!$A$2:$A$8,0)),""))</f>
        <v/>
      </c>
      <c r="G300" s="15"/>
      <c r="H300" s="18"/>
      <c r="I300" s="15"/>
      <c r="J300" s="15"/>
    </row>
    <row r="301" customFormat="false" ht="15" hidden="false" customHeight="false" outlineLevel="0" collapsed="false">
      <c r="A301" s="14" t="str">
        <f aca="false">IF(B301="","",ROW()-1)</f>
        <v/>
      </c>
      <c r="B301" s="16"/>
      <c r="C301" s="14" t="str">
        <f aca="false">IF(B301="","",YEAR(B301))</f>
        <v/>
      </c>
      <c r="D301" s="15"/>
      <c r="E301" s="15"/>
      <c r="F301" s="14" t="str">
        <f aca="false">IF(E301="","",IFERROR(INDEX(카테고리!$B$2:$B$8,MATCH(E301,카테고리!$A$2:$A$8,0)),""))</f>
        <v/>
      </c>
      <c r="G301" s="15"/>
      <c r="H301" s="18"/>
      <c r="I301" s="15"/>
      <c r="J301" s="15"/>
    </row>
    <row r="302" customFormat="false" ht="15" hidden="false" customHeight="false" outlineLevel="0" collapsed="false">
      <c r="A302" s="14" t="str">
        <f aca="false">IF(B302="","",ROW()-1)</f>
        <v/>
      </c>
      <c r="B302" s="16"/>
      <c r="C302" s="14" t="str">
        <f aca="false">IF(B302="","",YEAR(B302))</f>
        <v/>
      </c>
      <c r="D302" s="15"/>
      <c r="E302" s="15"/>
      <c r="F302" s="14" t="str">
        <f aca="false">IF(E302="","",IFERROR(INDEX(카테고리!$B$2:$B$8,MATCH(E302,카테고리!$A$2:$A$8,0)),""))</f>
        <v/>
      </c>
      <c r="G302" s="15"/>
      <c r="H302" s="18"/>
      <c r="I302" s="15"/>
      <c r="J302" s="15"/>
    </row>
    <row r="303" customFormat="false" ht="15" hidden="false" customHeight="false" outlineLevel="0" collapsed="false">
      <c r="A303" s="14" t="str">
        <f aca="false">IF(B303="","",ROW()-1)</f>
        <v/>
      </c>
      <c r="B303" s="16"/>
      <c r="C303" s="14" t="str">
        <f aca="false">IF(B303="","",YEAR(B303))</f>
        <v/>
      </c>
      <c r="D303" s="15"/>
      <c r="E303" s="15"/>
      <c r="F303" s="14" t="str">
        <f aca="false">IF(E303="","",IFERROR(INDEX(카테고리!$B$2:$B$8,MATCH(E303,카테고리!$A$2:$A$8,0)),""))</f>
        <v/>
      </c>
      <c r="G303" s="15"/>
      <c r="H303" s="18"/>
      <c r="I303" s="15"/>
      <c r="J303" s="15"/>
    </row>
    <row r="304" customFormat="false" ht="15" hidden="false" customHeight="false" outlineLevel="0" collapsed="false">
      <c r="A304" s="14" t="str">
        <f aca="false">IF(B304="","",ROW()-1)</f>
        <v/>
      </c>
      <c r="B304" s="16"/>
      <c r="C304" s="14" t="str">
        <f aca="false">IF(B304="","",YEAR(B304))</f>
        <v/>
      </c>
      <c r="D304" s="15"/>
      <c r="E304" s="15"/>
      <c r="F304" s="14" t="str">
        <f aca="false">IF(E304="","",IFERROR(INDEX(카테고리!$B$2:$B$8,MATCH(E304,카테고리!$A$2:$A$8,0)),""))</f>
        <v/>
      </c>
      <c r="G304" s="15"/>
      <c r="H304" s="18"/>
      <c r="I304" s="15"/>
      <c r="J304" s="15"/>
    </row>
    <row r="305" customFormat="false" ht="15" hidden="false" customHeight="false" outlineLevel="0" collapsed="false">
      <c r="A305" s="14" t="str">
        <f aca="false">IF(B305="","",ROW()-1)</f>
        <v/>
      </c>
      <c r="B305" s="16"/>
      <c r="C305" s="14" t="str">
        <f aca="false">IF(B305="","",YEAR(B305))</f>
        <v/>
      </c>
      <c r="D305" s="15"/>
      <c r="E305" s="15"/>
      <c r="F305" s="14" t="str">
        <f aca="false">IF(E305="","",IFERROR(INDEX(카테고리!$B$2:$B$8,MATCH(E305,카테고리!$A$2:$A$8,0)),""))</f>
        <v/>
      </c>
      <c r="G305" s="15"/>
      <c r="H305" s="18"/>
      <c r="I305" s="15"/>
      <c r="J305" s="15"/>
    </row>
    <row r="306" customFormat="false" ht="15" hidden="false" customHeight="false" outlineLevel="0" collapsed="false">
      <c r="A306" s="14" t="str">
        <f aca="false">IF(B306="","",ROW()-1)</f>
        <v/>
      </c>
      <c r="B306" s="16"/>
      <c r="C306" s="14" t="str">
        <f aca="false">IF(B306="","",YEAR(B306))</f>
        <v/>
      </c>
      <c r="D306" s="15"/>
      <c r="E306" s="15"/>
      <c r="F306" s="14" t="str">
        <f aca="false">IF(E306="","",IFERROR(INDEX(카테고리!$B$2:$B$8,MATCH(E306,카테고리!$A$2:$A$8,0)),""))</f>
        <v/>
      </c>
      <c r="G306" s="15"/>
      <c r="H306" s="18"/>
      <c r="I306" s="15"/>
      <c r="J306" s="15"/>
    </row>
    <row r="307" customFormat="false" ht="15" hidden="false" customHeight="false" outlineLevel="0" collapsed="false">
      <c r="A307" s="14" t="str">
        <f aca="false">IF(B307="","",ROW()-1)</f>
        <v/>
      </c>
      <c r="B307" s="16"/>
      <c r="C307" s="14" t="str">
        <f aca="false">IF(B307="","",YEAR(B307))</f>
        <v/>
      </c>
      <c r="D307" s="15"/>
      <c r="E307" s="15"/>
      <c r="F307" s="14" t="str">
        <f aca="false">IF(E307="","",IFERROR(INDEX(카테고리!$B$2:$B$8,MATCH(E307,카테고리!$A$2:$A$8,0)),""))</f>
        <v/>
      </c>
      <c r="G307" s="15"/>
      <c r="H307" s="18"/>
      <c r="I307" s="15"/>
      <c r="J307" s="15"/>
    </row>
    <row r="308" customFormat="false" ht="15" hidden="false" customHeight="false" outlineLevel="0" collapsed="false">
      <c r="A308" s="14" t="str">
        <f aca="false">IF(B308="","",ROW()-1)</f>
        <v/>
      </c>
      <c r="B308" s="16"/>
      <c r="C308" s="14" t="str">
        <f aca="false">IF(B308="","",YEAR(B308))</f>
        <v/>
      </c>
      <c r="D308" s="15"/>
      <c r="E308" s="15"/>
      <c r="F308" s="14" t="str">
        <f aca="false">IF(E308="","",IFERROR(INDEX(카테고리!$B$2:$B$8,MATCH(E308,카테고리!$A$2:$A$8,0)),""))</f>
        <v/>
      </c>
      <c r="G308" s="15"/>
      <c r="H308" s="18"/>
      <c r="I308" s="15"/>
      <c r="J308" s="15"/>
    </row>
    <row r="309" customFormat="false" ht="15" hidden="false" customHeight="false" outlineLevel="0" collapsed="false">
      <c r="A309" s="14" t="str">
        <f aca="false">IF(B309="","",ROW()-1)</f>
        <v/>
      </c>
      <c r="B309" s="16"/>
      <c r="C309" s="14" t="str">
        <f aca="false">IF(B309="","",YEAR(B309))</f>
        <v/>
      </c>
      <c r="D309" s="15"/>
      <c r="E309" s="15"/>
      <c r="F309" s="14" t="str">
        <f aca="false">IF(E309="","",IFERROR(INDEX(카테고리!$B$2:$B$8,MATCH(E309,카테고리!$A$2:$A$8,0)),""))</f>
        <v/>
      </c>
      <c r="G309" s="15"/>
      <c r="H309" s="18"/>
      <c r="I309" s="15"/>
      <c r="J309" s="15"/>
    </row>
    <row r="310" customFormat="false" ht="15" hidden="false" customHeight="false" outlineLevel="0" collapsed="false">
      <c r="A310" s="14" t="str">
        <f aca="false">IF(B310="","",ROW()-1)</f>
        <v/>
      </c>
      <c r="B310" s="16"/>
      <c r="C310" s="14" t="str">
        <f aca="false">IF(B310="","",YEAR(B310))</f>
        <v/>
      </c>
      <c r="D310" s="15"/>
      <c r="E310" s="15"/>
      <c r="F310" s="14" t="str">
        <f aca="false">IF(E310="","",IFERROR(INDEX(카테고리!$B$2:$B$8,MATCH(E310,카테고리!$A$2:$A$8,0)),""))</f>
        <v/>
      </c>
      <c r="G310" s="15"/>
      <c r="H310" s="18"/>
      <c r="I310" s="15"/>
      <c r="J310" s="15"/>
    </row>
    <row r="311" customFormat="false" ht="15" hidden="false" customHeight="false" outlineLevel="0" collapsed="false">
      <c r="A311" s="14" t="str">
        <f aca="false">IF(B311="","",ROW()-1)</f>
        <v/>
      </c>
      <c r="B311" s="16"/>
      <c r="C311" s="14" t="str">
        <f aca="false">IF(B311="","",YEAR(B311))</f>
        <v/>
      </c>
      <c r="D311" s="15"/>
      <c r="E311" s="15"/>
      <c r="F311" s="14" t="str">
        <f aca="false">IF(E311="","",IFERROR(INDEX(카테고리!$B$2:$B$8,MATCH(E311,카테고리!$A$2:$A$8,0)),""))</f>
        <v/>
      </c>
      <c r="G311" s="15"/>
      <c r="H311" s="18"/>
      <c r="I311" s="15"/>
      <c r="J311" s="15"/>
    </row>
    <row r="312" customFormat="false" ht="15" hidden="false" customHeight="false" outlineLevel="0" collapsed="false">
      <c r="A312" s="14" t="str">
        <f aca="false">IF(B312="","",ROW()-1)</f>
        <v/>
      </c>
      <c r="B312" s="16"/>
      <c r="C312" s="14" t="str">
        <f aca="false">IF(B312="","",YEAR(B312))</f>
        <v/>
      </c>
      <c r="D312" s="15"/>
      <c r="E312" s="15"/>
      <c r="F312" s="14" t="str">
        <f aca="false">IF(E312="","",IFERROR(INDEX(카테고리!$B$2:$B$8,MATCH(E312,카테고리!$A$2:$A$8,0)),""))</f>
        <v/>
      </c>
      <c r="G312" s="15"/>
      <c r="H312" s="18"/>
      <c r="I312" s="15"/>
      <c r="J312" s="15"/>
    </row>
    <row r="313" customFormat="false" ht="15" hidden="false" customHeight="false" outlineLevel="0" collapsed="false">
      <c r="A313" s="14" t="str">
        <f aca="false">IF(B313="","",ROW()-1)</f>
        <v/>
      </c>
      <c r="B313" s="16"/>
      <c r="C313" s="14" t="str">
        <f aca="false">IF(B313="","",YEAR(B313))</f>
        <v/>
      </c>
      <c r="D313" s="15"/>
      <c r="E313" s="15"/>
      <c r="F313" s="14" t="str">
        <f aca="false">IF(E313="","",IFERROR(INDEX(카테고리!$B$2:$B$8,MATCH(E313,카테고리!$A$2:$A$8,0)),""))</f>
        <v/>
      </c>
      <c r="G313" s="15"/>
      <c r="H313" s="18"/>
      <c r="I313" s="15"/>
      <c r="J313" s="15"/>
    </row>
    <row r="314" customFormat="false" ht="15" hidden="false" customHeight="false" outlineLevel="0" collapsed="false">
      <c r="A314" s="14" t="str">
        <f aca="false">IF(B314="","",ROW()-1)</f>
        <v/>
      </c>
      <c r="B314" s="16"/>
      <c r="C314" s="14" t="str">
        <f aca="false">IF(B314="","",YEAR(B314))</f>
        <v/>
      </c>
      <c r="D314" s="15"/>
      <c r="E314" s="15"/>
      <c r="F314" s="14" t="str">
        <f aca="false">IF(E314="","",IFERROR(INDEX(카테고리!$B$2:$B$8,MATCH(E314,카테고리!$A$2:$A$8,0)),""))</f>
        <v/>
      </c>
      <c r="G314" s="15"/>
      <c r="H314" s="18"/>
      <c r="I314" s="15"/>
      <c r="J314" s="15"/>
    </row>
    <row r="315" customFormat="false" ht="15" hidden="false" customHeight="false" outlineLevel="0" collapsed="false">
      <c r="A315" s="14" t="str">
        <f aca="false">IF(B315="","",ROW()-1)</f>
        <v/>
      </c>
      <c r="B315" s="16"/>
      <c r="C315" s="14" t="str">
        <f aca="false">IF(B315="","",YEAR(B315))</f>
        <v/>
      </c>
      <c r="D315" s="15"/>
      <c r="E315" s="15"/>
      <c r="F315" s="14" t="str">
        <f aca="false">IF(E315="","",IFERROR(INDEX(카테고리!$B$2:$B$8,MATCH(E315,카테고리!$A$2:$A$8,0)),""))</f>
        <v/>
      </c>
      <c r="G315" s="15"/>
      <c r="H315" s="18"/>
      <c r="I315" s="15"/>
      <c r="J315" s="15"/>
    </row>
    <row r="316" customFormat="false" ht="15" hidden="false" customHeight="false" outlineLevel="0" collapsed="false">
      <c r="A316" s="14" t="str">
        <f aca="false">IF(B316="","",ROW()-1)</f>
        <v/>
      </c>
      <c r="B316" s="16"/>
      <c r="C316" s="14" t="str">
        <f aca="false">IF(B316="","",YEAR(B316))</f>
        <v/>
      </c>
      <c r="D316" s="15"/>
      <c r="E316" s="15"/>
      <c r="F316" s="14" t="str">
        <f aca="false">IF(E316="","",IFERROR(INDEX(카테고리!$B$2:$B$8,MATCH(E316,카테고리!$A$2:$A$8,0)),""))</f>
        <v/>
      </c>
      <c r="G316" s="15"/>
      <c r="H316" s="18"/>
      <c r="I316" s="15"/>
      <c r="J316" s="15"/>
    </row>
    <row r="317" customFormat="false" ht="15" hidden="false" customHeight="false" outlineLevel="0" collapsed="false">
      <c r="A317" s="14" t="str">
        <f aca="false">IF(B317="","",ROW()-1)</f>
        <v/>
      </c>
      <c r="B317" s="16"/>
      <c r="C317" s="14" t="str">
        <f aca="false">IF(B317="","",YEAR(B317))</f>
        <v/>
      </c>
      <c r="D317" s="15"/>
      <c r="E317" s="15"/>
      <c r="F317" s="14" t="str">
        <f aca="false">IF(E317="","",IFERROR(INDEX(카테고리!$B$2:$B$8,MATCH(E317,카테고리!$A$2:$A$8,0)),""))</f>
        <v/>
      </c>
      <c r="G317" s="15"/>
      <c r="H317" s="18"/>
      <c r="I317" s="15"/>
      <c r="J317" s="15"/>
    </row>
    <row r="318" customFormat="false" ht="15" hidden="false" customHeight="false" outlineLevel="0" collapsed="false">
      <c r="A318" s="14" t="str">
        <f aca="false">IF(B318="","",ROW()-1)</f>
        <v/>
      </c>
      <c r="B318" s="16"/>
      <c r="C318" s="14" t="str">
        <f aca="false">IF(B318="","",YEAR(B318))</f>
        <v/>
      </c>
      <c r="D318" s="15"/>
      <c r="E318" s="15"/>
      <c r="F318" s="14" t="str">
        <f aca="false">IF(E318="","",IFERROR(INDEX(카테고리!$B$2:$B$8,MATCH(E318,카테고리!$A$2:$A$8,0)),""))</f>
        <v/>
      </c>
      <c r="G318" s="15"/>
      <c r="H318" s="18"/>
      <c r="I318" s="15"/>
      <c r="J318" s="15"/>
    </row>
    <row r="319" customFormat="false" ht="15" hidden="false" customHeight="false" outlineLevel="0" collapsed="false">
      <c r="A319" s="14" t="str">
        <f aca="false">IF(B319="","",ROW()-1)</f>
        <v/>
      </c>
      <c r="B319" s="16"/>
      <c r="C319" s="14" t="str">
        <f aca="false">IF(B319="","",YEAR(B319))</f>
        <v/>
      </c>
      <c r="D319" s="15"/>
      <c r="E319" s="15"/>
      <c r="F319" s="14" t="str">
        <f aca="false">IF(E319="","",IFERROR(INDEX(카테고리!$B$2:$B$8,MATCH(E319,카테고리!$A$2:$A$8,0)),""))</f>
        <v/>
      </c>
      <c r="G319" s="15"/>
      <c r="H319" s="18"/>
      <c r="I319" s="15"/>
      <c r="J319" s="15"/>
    </row>
    <row r="320" customFormat="false" ht="15" hidden="false" customHeight="false" outlineLevel="0" collapsed="false">
      <c r="A320" s="14" t="str">
        <f aca="false">IF(B320="","",ROW()-1)</f>
        <v/>
      </c>
      <c r="B320" s="16"/>
      <c r="C320" s="14" t="str">
        <f aca="false">IF(B320="","",YEAR(B320))</f>
        <v/>
      </c>
      <c r="D320" s="15"/>
      <c r="E320" s="15"/>
      <c r="F320" s="14" t="str">
        <f aca="false">IF(E320="","",IFERROR(INDEX(카테고리!$B$2:$B$8,MATCH(E320,카테고리!$A$2:$A$8,0)),""))</f>
        <v/>
      </c>
      <c r="G320" s="15"/>
      <c r="H320" s="18"/>
      <c r="I320" s="15"/>
      <c r="J320" s="15"/>
    </row>
    <row r="321" customFormat="false" ht="15" hidden="false" customHeight="false" outlineLevel="0" collapsed="false">
      <c r="A321" s="14" t="str">
        <f aca="false">IF(B321="","",ROW()-1)</f>
        <v/>
      </c>
      <c r="B321" s="16"/>
      <c r="C321" s="14" t="str">
        <f aca="false">IF(B321="","",YEAR(B321))</f>
        <v/>
      </c>
      <c r="D321" s="15"/>
      <c r="E321" s="15"/>
      <c r="F321" s="14" t="str">
        <f aca="false">IF(E321="","",IFERROR(INDEX(카테고리!$B$2:$B$8,MATCH(E321,카테고리!$A$2:$A$8,0)),""))</f>
        <v/>
      </c>
      <c r="G321" s="15"/>
      <c r="H321" s="18"/>
      <c r="I321" s="15"/>
      <c r="J321" s="15"/>
    </row>
    <row r="322" customFormat="false" ht="15" hidden="false" customHeight="false" outlineLevel="0" collapsed="false">
      <c r="A322" s="14" t="str">
        <f aca="false">IF(B322="","",ROW()-1)</f>
        <v/>
      </c>
      <c r="B322" s="16"/>
      <c r="C322" s="14" t="str">
        <f aca="false">IF(B322="","",YEAR(B322))</f>
        <v/>
      </c>
      <c r="D322" s="15"/>
      <c r="E322" s="15"/>
      <c r="F322" s="14" t="str">
        <f aca="false">IF(E322="","",IFERROR(INDEX(카테고리!$B$2:$B$8,MATCH(E322,카테고리!$A$2:$A$8,0)),""))</f>
        <v/>
      </c>
      <c r="G322" s="15"/>
      <c r="H322" s="18"/>
      <c r="I322" s="15"/>
      <c r="J322" s="15"/>
    </row>
    <row r="323" customFormat="false" ht="15" hidden="false" customHeight="false" outlineLevel="0" collapsed="false">
      <c r="A323" s="14" t="str">
        <f aca="false">IF(B323="","",ROW()-1)</f>
        <v/>
      </c>
      <c r="B323" s="16"/>
      <c r="C323" s="14" t="str">
        <f aca="false">IF(B323="","",YEAR(B323))</f>
        <v/>
      </c>
      <c r="D323" s="15"/>
      <c r="E323" s="15"/>
      <c r="F323" s="14" t="str">
        <f aca="false">IF(E323="","",IFERROR(INDEX(카테고리!$B$2:$B$8,MATCH(E323,카테고리!$A$2:$A$8,0)),""))</f>
        <v/>
      </c>
      <c r="G323" s="15"/>
      <c r="H323" s="18"/>
      <c r="I323" s="15"/>
      <c r="J323" s="15"/>
    </row>
    <row r="324" customFormat="false" ht="15" hidden="false" customHeight="false" outlineLevel="0" collapsed="false">
      <c r="A324" s="14" t="str">
        <f aca="false">IF(B324="","",ROW()-1)</f>
        <v/>
      </c>
      <c r="B324" s="16"/>
      <c r="C324" s="14" t="str">
        <f aca="false">IF(B324="","",YEAR(B324))</f>
        <v/>
      </c>
      <c r="D324" s="15"/>
      <c r="E324" s="15"/>
      <c r="F324" s="14" t="str">
        <f aca="false">IF(E324="","",IFERROR(INDEX(카테고리!$B$2:$B$8,MATCH(E324,카테고리!$A$2:$A$8,0)),""))</f>
        <v/>
      </c>
      <c r="G324" s="15"/>
      <c r="H324" s="18"/>
      <c r="I324" s="15"/>
      <c r="J324" s="15"/>
    </row>
    <row r="325" customFormat="false" ht="15" hidden="false" customHeight="false" outlineLevel="0" collapsed="false">
      <c r="A325" s="14" t="str">
        <f aca="false">IF(B325="","",ROW()-1)</f>
        <v/>
      </c>
      <c r="B325" s="16"/>
      <c r="C325" s="14" t="str">
        <f aca="false">IF(B325="","",YEAR(B325))</f>
        <v/>
      </c>
      <c r="D325" s="15"/>
      <c r="E325" s="15"/>
      <c r="F325" s="14" t="str">
        <f aca="false">IF(E325="","",IFERROR(INDEX(카테고리!$B$2:$B$8,MATCH(E325,카테고리!$A$2:$A$8,0)),""))</f>
        <v/>
      </c>
      <c r="G325" s="15"/>
      <c r="H325" s="18"/>
      <c r="I325" s="15"/>
      <c r="J325" s="15"/>
    </row>
    <row r="326" customFormat="false" ht="15" hidden="false" customHeight="false" outlineLevel="0" collapsed="false">
      <c r="A326" s="14" t="str">
        <f aca="false">IF(B326="","",ROW()-1)</f>
        <v/>
      </c>
      <c r="B326" s="16"/>
      <c r="C326" s="14" t="str">
        <f aca="false">IF(B326="","",YEAR(B326))</f>
        <v/>
      </c>
      <c r="D326" s="15"/>
      <c r="E326" s="15"/>
      <c r="F326" s="14" t="str">
        <f aca="false">IF(E326="","",IFERROR(INDEX(카테고리!$B$2:$B$8,MATCH(E326,카테고리!$A$2:$A$8,0)),""))</f>
        <v/>
      </c>
      <c r="G326" s="15"/>
      <c r="H326" s="18"/>
      <c r="I326" s="15"/>
      <c r="J326" s="15"/>
    </row>
    <row r="327" customFormat="false" ht="15" hidden="false" customHeight="false" outlineLevel="0" collapsed="false">
      <c r="A327" s="14" t="str">
        <f aca="false">IF(B327="","",ROW()-1)</f>
        <v/>
      </c>
      <c r="B327" s="16"/>
      <c r="C327" s="14" t="str">
        <f aca="false">IF(B327="","",YEAR(B327))</f>
        <v/>
      </c>
      <c r="D327" s="15"/>
      <c r="E327" s="15"/>
      <c r="F327" s="14" t="str">
        <f aca="false">IF(E327="","",IFERROR(INDEX(카테고리!$B$2:$B$8,MATCH(E327,카테고리!$A$2:$A$8,0)),""))</f>
        <v/>
      </c>
      <c r="G327" s="15"/>
      <c r="H327" s="18"/>
      <c r="I327" s="15"/>
      <c r="J327" s="15"/>
    </row>
    <row r="328" customFormat="false" ht="15" hidden="false" customHeight="false" outlineLevel="0" collapsed="false">
      <c r="A328" s="14" t="str">
        <f aca="false">IF(B328="","",ROW()-1)</f>
        <v/>
      </c>
      <c r="B328" s="16"/>
      <c r="C328" s="14" t="str">
        <f aca="false">IF(B328="","",YEAR(B328))</f>
        <v/>
      </c>
      <c r="D328" s="15"/>
      <c r="E328" s="15"/>
      <c r="F328" s="14" t="str">
        <f aca="false">IF(E328="","",IFERROR(INDEX(카테고리!$B$2:$B$8,MATCH(E328,카테고리!$A$2:$A$8,0)),""))</f>
        <v/>
      </c>
      <c r="G328" s="15"/>
      <c r="H328" s="18"/>
      <c r="I328" s="15"/>
      <c r="J328" s="15"/>
    </row>
    <row r="329" customFormat="false" ht="15" hidden="false" customHeight="false" outlineLevel="0" collapsed="false">
      <c r="A329" s="14" t="str">
        <f aca="false">IF(B329="","",ROW()-1)</f>
        <v/>
      </c>
      <c r="B329" s="16"/>
      <c r="C329" s="14" t="str">
        <f aca="false">IF(B329="","",YEAR(B329))</f>
        <v/>
      </c>
      <c r="D329" s="15"/>
      <c r="E329" s="15"/>
      <c r="F329" s="14" t="str">
        <f aca="false">IF(E329="","",IFERROR(INDEX(카테고리!$B$2:$B$8,MATCH(E329,카테고리!$A$2:$A$8,0)),""))</f>
        <v/>
      </c>
      <c r="G329" s="15"/>
      <c r="H329" s="18"/>
      <c r="I329" s="15"/>
      <c r="J329" s="15"/>
    </row>
    <row r="330" customFormat="false" ht="15" hidden="false" customHeight="false" outlineLevel="0" collapsed="false">
      <c r="A330" s="14" t="str">
        <f aca="false">IF(B330="","",ROW()-1)</f>
        <v/>
      </c>
      <c r="B330" s="16"/>
      <c r="C330" s="14" t="str">
        <f aca="false">IF(B330="","",YEAR(B330))</f>
        <v/>
      </c>
      <c r="D330" s="15"/>
      <c r="E330" s="15"/>
      <c r="F330" s="14" t="str">
        <f aca="false">IF(E330="","",IFERROR(INDEX(카테고리!$B$2:$B$8,MATCH(E330,카테고리!$A$2:$A$8,0)),""))</f>
        <v/>
      </c>
      <c r="G330" s="15"/>
      <c r="H330" s="18"/>
      <c r="I330" s="15"/>
      <c r="J330" s="15"/>
    </row>
    <row r="331" customFormat="false" ht="15" hidden="false" customHeight="false" outlineLevel="0" collapsed="false">
      <c r="A331" s="14" t="str">
        <f aca="false">IF(B331="","",ROW()-1)</f>
        <v/>
      </c>
      <c r="B331" s="16"/>
      <c r="C331" s="14" t="str">
        <f aca="false">IF(B331="","",YEAR(B331))</f>
        <v/>
      </c>
      <c r="D331" s="15"/>
      <c r="E331" s="15"/>
      <c r="F331" s="14" t="str">
        <f aca="false">IF(E331="","",IFERROR(INDEX(카테고리!$B$2:$B$8,MATCH(E331,카테고리!$A$2:$A$8,0)),""))</f>
        <v/>
      </c>
      <c r="G331" s="15"/>
      <c r="H331" s="18"/>
      <c r="I331" s="15"/>
      <c r="J331" s="15"/>
    </row>
    <row r="332" customFormat="false" ht="15" hidden="false" customHeight="false" outlineLevel="0" collapsed="false">
      <c r="A332" s="14" t="str">
        <f aca="false">IF(B332="","",ROW()-1)</f>
        <v/>
      </c>
      <c r="B332" s="16"/>
      <c r="C332" s="14" t="str">
        <f aca="false">IF(B332="","",YEAR(B332))</f>
        <v/>
      </c>
      <c r="D332" s="15"/>
      <c r="E332" s="15"/>
      <c r="F332" s="14" t="str">
        <f aca="false">IF(E332="","",IFERROR(INDEX(카테고리!$B$2:$B$8,MATCH(E332,카테고리!$A$2:$A$8,0)),""))</f>
        <v/>
      </c>
      <c r="G332" s="15"/>
      <c r="H332" s="18"/>
      <c r="I332" s="15"/>
      <c r="J332" s="15"/>
    </row>
    <row r="333" customFormat="false" ht="15" hidden="false" customHeight="false" outlineLevel="0" collapsed="false">
      <c r="A333" s="14" t="str">
        <f aca="false">IF(B333="","",ROW()-1)</f>
        <v/>
      </c>
      <c r="B333" s="16"/>
      <c r="C333" s="14" t="str">
        <f aca="false">IF(B333="","",YEAR(B333))</f>
        <v/>
      </c>
      <c r="D333" s="15"/>
      <c r="E333" s="15"/>
      <c r="F333" s="14" t="str">
        <f aca="false">IF(E333="","",IFERROR(INDEX(카테고리!$B$2:$B$8,MATCH(E333,카테고리!$A$2:$A$8,0)),""))</f>
        <v/>
      </c>
      <c r="G333" s="15"/>
      <c r="H333" s="18"/>
      <c r="I333" s="15"/>
      <c r="J333" s="15"/>
    </row>
    <row r="334" customFormat="false" ht="15" hidden="false" customHeight="false" outlineLevel="0" collapsed="false">
      <c r="A334" s="14" t="str">
        <f aca="false">IF(B334="","",ROW()-1)</f>
        <v/>
      </c>
      <c r="B334" s="16"/>
      <c r="C334" s="14" t="str">
        <f aca="false">IF(B334="","",YEAR(B334))</f>
        <v/>
      </c>
      <c r="D334" s="15"/>
      <c r="E334" s="15"/>
      <c r="F334" s="14" t="str">
        <f aca="false">IF(E334="","",IFERROR(INDEX(카테고리!$B$2:$B$8,MATCH(E334,카테고리!$A$2:$A$8,0)),""))</f>
        <v/>
      </c>
      <c r="G334" s="15"/>
      <c r="H334" s="18"/>
      <c r="I334" s="15"/>
      <c r="J334" s="15"/>
    </row>
    <row r="335" customFormat="false" ht="15" hidden="false" customHeight="false" outlineLevel="0" collapsed="false">
      <c r="A335" s="14" t="str">
        <f aca="false">IF(B335="","",ROW()-1)</f>
        <v/>
      </c>
      <c r="B335" s="16"/>
      <c r="C335" s="14" t="str">
        <f aca="false">IF(B335="","",YEAR(B335))</f>
        <v/>
      </c>
      <c r="D335" s="15"/>
      <c r="E335" s="15"/>
      <c r="F335" s="14" t="str">
        <f aca="false">IF(E335="","",IFERROR(INDEX(카테고리!$B$2:$B$8,MATCH(E335,카테고리!$A$2:$A$8,0)),""))</f>
        <v/>
      </c>
      <c r="G335" s="15"/>
      <c r="H335" s="18"/>
      <c r="I335" s="15"/>
      <c r="J335" s="15"/>
    </row>
    <row r="336" customFormat="false" ht="15" hidden="false" customHeight="false" outlineLevel="0" collapsed="false">
      <c r="A336" s="14" t="str">
        <f aca="false">IF(B336="","",ROW()-1)</f>
        <v/>
      </c>
      <c r="B336" s="16"/>
      <c r="C336" s="14" t="str">
        <f aca="false">IF(B336="","",YEAR(B336))</f>
        <v/>
      </c>
      <c r="D336" s="15"/>
      <c r="E336" s="15"/>
      <c r="F336" s="14" t="str">
        <f aca="false">IF(E336="","",IFERROR(INDEX(카테고리!$B$2:$B$8,MATCH(E336,카테고리!$A$2:$A$8,0)),""))</f>
        <v/>
      </c>
      <c r="G336" s="15"/>
      <c r="H336" s="18"/>
      <c r="I336" s="15"/>
      <c r="J336" s="15"/>
    </row>
    <row r="337" customFormat="false" ht="15" hidden="false" customHeight="false" outlineLevel="0" collapsed="false">
      <c r="A337" s="14" t="str">
        <f aca="false">IF(B337="","",ROW()-1)</f>
        <v/>
      </c>
      <c r="B337" s="16"/>
      <c r="C337" s="14" t="str">
        <f aca="false">IF(B337="","",YEAR(B337))</f>
        <v/>
      </c>
      <c r="D337" s="15"/>
      <c r="E337" s="15"/>
      <c r="F337" s="14" t="str">
        <f aca="false">IF(E337="","",IFERROR(INDEX(카테고리!$B$2:$B$8,MATCH(E337,카테고리!$A$2:$A$8,0)),""))</f>
        <v/>
      </c>
      <c r="G337" s="15"/>
      <c r="H337" s="18"/>
      <c r="I337" s="15"/>
      <c r="J337" s="15"/>
    </row>
    <row r="338" customFormat="false" ht="15" hidden="false" customHeight="false" outlineLevel="0" collapsed="false">
      <c r="A338" s="14" t="str">
        <f aca="false">IF(B338="","",ROW()-1)</f>
        <v/>
      </c>
      <c r="B338" s="16"/>
      <c r="C338" s="14" t="str">
        <f aca="false">IF(B338="","",YEAR(B338))</f>
        <v/>
      </c>
      <c r="D338" s="15"/>
      <c r="E338" s="15"/>
      <c r="F338" s="14" t="str">
        <f aca="false">IF(E338="","",IFERROR(INDEX(카테고리!$B$2:$B$8,MATCH(E338,카테고리!$A$2:$A$8,0)),""))</f>
        <v/>
      </c>
      <c r="G338" s="15"/>
      <c r="H338" s="18"/>
      <c r="I338" s="15"/>
      <c r="J338" s="15"/>
    </row>
    <row r="339" customFormat="false" ht="15" hidden="false" customHeight="false" outlineLevel="0" collapsed="false">
      <c r="A339" s="14" t="str">
        <f aca="false">IF(B339="","",ROW()-1)</f>
        <v/>
      </c>
      <c r="B339" s="16"/>
      <c r="C339" s="14" t="str">
        <f aca="false">IF(B339="","",YEAR(B339))</f>
        <v/>
      </c>
      <c r="D339" s="15"/>
      <c r="E339" s="15"/>
      <c r="F339" s="14" t="str">
        <f aca="false">IF(E339="","",IFERROR(INDEX(카테고리!$B$2:$B$8,MATCH(E339,카테고리!$A$2:$A$8,0)),""))</f>
        <v/>
      </c>
      <c r="G339" s="15"/>
      <c r="H339" s="18"/>
      <c r="I339" s="15"/>
      <c r="J339" s="15"/>
    </row>
    <row r="340" customFormat="false" ht="15" hidden="false" customHeight="false" outlineLevel="0" collapsed="false">
      <c r="A340" s="14" t="str">
        <f aca="false">IF(B340="","",ROW()-1)</f>
        <v/>
      </c>
      <c r="B340" s="16"/>
      <c r="C340" s="14" t="str">
        <f aca="false">IF(B340="","",YEAR(B340))</f>
        <v/>
      </c>
      <c r="D340" s="15"/>
      <c r="E340" s="15"/>
      <c r="F340" s="14" t="str">
        <f aca="false">IF(E340="","",IFERROR(INDEX(카테고리!$B$2:$B$8,MATCH(E340,카테고리!$A$2:$A$8,0)),""))</f>
        <v/>
      </c>
      <c r="G340" s="15"/>
      <c r="H340" s="18"/>
      <c r="I340" s="15"/>
      <c r="J340" s="15"/>
    </row>
    <row r="341" customFormat="false" ht="15" hidden="false" customHeight="false" outlineLevel="0" collapsed="false">
      <c r="A341" s="14" t="str">
        <f aca="false">IF(B341="","",ROW()-1)</f>
        <v/>
      </c>
      <c r="B341" s="16"/>
      <c r="C341" s="14" t="str">
        <f aca="false">IF(B341="","",YEAR(B341))</f>
        <v/>
      </c>
      <c r="D341" s="15"/>
      <c r="E341" s="15"/>
      <c r="F341" s="14" t="str">
        <f aca="false">IF(E341="","",IFERROR(INDEX(카테고리!$B$2:$B$8,MATCH(E341,카테고리!$A$2:$A$8,0)),""))</f>
        <v/>
      </c>
      <c r="G341" s="15"/>
      <c r="H341" s="18"/>
      <c r="I341" s="15"/>
      <c r="J341" s="15"/>
    </row>
    <row r="342" customFormat="false" ht="15" hidden="false" customHeight="false" outlineLevel="0" collapsed="false">
      <c r="A342" s="14" t="str">
        <f aca="false">IF(B342="","",ROW()-1)</f>
        <v/>
      </c>
      <c r="B342" s="16"/>
      <c r="C342" s="14" t="str">
        <f aca="false">IF(B342="","",YEAR(B342))</f>
        <v/>
      </c>
      <c r="D342" s="15"/>
      <c r="E342" s="15"/>
      <c r="F342" s="14" t="str">
        <f aca="false">IF(E342="","",IFERROR(INDEX(카테고리!$B$2:$B$8,MATCH(E342,카테고리!$A$2:$A$8,0)),""))</f>
        <v/>
      </c>
      <c r="G342" s="15"/>
      <c r="H342" s="18"/>
      <c r="I342" s="15"/>
      <c r="J342" s="15"/>
    </row>
    <row r="343" customFormat="false" ht="15" hidden="false" customHeight="false" outlineLevel="0" collapsed="false">
      <c r="A343" s="14" t="str">
        <f aca="false">IF(B343="","",ROW()-1)</f>
        <v/>
      </c>
      <c r="B343" s="16"/>
      <c r="C343" s="14" t="str">
        <f aca="false">IF(B343="","",YEAR(B343))</f>
        <v/>
      </c>
      <c r="D343" s="15"/>
      <c r="E343" s="15"/>
      <c r="F343" s="14" t="str">
        <f aca="false">IF(E343="","",IFERROR(INDEX(카테고리!$B$2:$B$8,MATCH(E343,카테고리!$A$2:$A$8,0)),""))</f>
        <v/>
      </c>
      <c r="G343" s="15"/>
      <c r="H343" s="18"/>
      <c r="I343" s="15"/>
      <c r="J343" s="15"/>
    </row>
    <row r="344" customFormat="false" ht="15" hidden="false" customHeight="false" outlineLevel="0" collapsed="false">
      <c r="A344" s="14" t="str">
        <f aca="false">IF(B344="","",ROW()-1)</f>
        <v/>
      </c>
      <c r="B344" s="16"/>
      <c r="C344" s="14" t="str">
        <f aca="false">IF(B344="","",YEAR(B344))</f>
        <v/>
      </c>
      <c r="D344" s="15"/>
      <c r="E344" s="15"/>
      <c r="F344" s="14" t="str">
        <f aca="false">IF(E344="","",IFERROR(INDEX(카테고리!$B$2:$B$8,MATCH(E344,카테고리!$A$2:$A$8,0)),""))</f>
        <v/>
      </c>
      <c r="G344" s="15"/>
      <c r="H344" s="18"/>
      <c r="I344" s="15"/>
      <c r="J344" s="15"/>
    </row>
    <row r="345" customFormat="false" ht="15" hidden="false" customHeight="false" outlineLevel="0" collapsed="false">
      <c r="A345" s="14" t="str">
        <f aca="false">IF(B345="","",ROW()-1)</f>
        <v/>
      </c>
      <c r="B345" s="16"/>
      <c r="C345" s="14" t="str">
        <f aca="false">IF(B345="","",YEAR(B345))</f>
        <v/>
      </c>
      <c r="D345" s="15"/>
      <c r="E345" s="15"/>
      <c r="F345" s="14" t="str">
        <f aca="false">IF(E345="","",IFERROR(INDEX(카테고리!$B$2:$B$8,MATCH(E345,카테고리!$A$2:$A$8,0)),""))</f>
        <v/>
      </c>
      <c r="G345" s="15"/>
      <c r="H345" s="18"/>
      <c r="I345" s="15"/>
      <c r="J345" s="15"/>
    </row>
    <row r="346" customFormat="false" ht="15" hidden="false" customHeight="false" outlineLevel="0" collapsed="false">
      <c r="A346" s="14" t="str">
        <f aca="false">IF(B346="","",ROW()-1)</f>
        <v/>
      </c>
      <c r="B346" s="16"/>
      <c r="C346" s="14" t="str">
        <f aca="false">IF(B346="","",YEAR(B346))</f>
        <v/>
      </c>
      <c r="D346" s="15"/>
      <c r="E346" s="15"/>
      <c r="F346" s="14" t="str">
        <f aca="false">IF(E346="","",IFERROR(INDEX(카테고리!$B$2:$B$8,MATCH(E346,카테고리!$A$2:$A$8,0)),""))</f>
        <v/>
      </c>
      <c r="G346" s="15"/>
      <c r="H346" s="18"/>
      <c r="I346" s="15"/>
      <c r="J346" s="15"/>
    </row>
    <row r="347" customFormat="false" ht="15" hidden="false" customHeight="false" outlineLevel="0" collapsed="false">
      <c r="A347" s="14" t="str">
        <f aca="false">IF(B347="","",ROW()-1)</f>
        <v/>
      </c>
      <c r="B347" s="16"/>
      <c r="C347" s="14" t="str">
        <f aca="false">IF(B347="","",YEAR(B347))</f>
        <v/>
      </c>
      <c r="D347" s="15"/>
      <c r="E347" s="15"/>
      <c r="F347" s="14" t="str">
        <f aca="false">IF(E347="","",IFERROR(INDEX(카테고리!$B$2:$B$8,MATCH(E347,카테고리!$A$2:$A$8,0)),""))</f>
        <v/>
      </c>
      <c r="G347" s="15"/>
      <c r="H347" s="18"/>
      <c r="I347" s="15"/>
      <c r="J347" s="15"/>
    </row>
    <row r="348" customFormat="false" ht="15" hidden="false" customHeight="false" outlineLevel="0" collapsed="false">
      <c r="A348" s="14" t="str">
        <f aca="false">IF(B348="","",ROW()-1)</f>
        <v/>
      </c>
      <c r="B348" s="16"/>
      <c r="C348" s="14" t="str">
        <f aca="false">IF(B348="","",YEAR(B348))</f>
        <v/>
      </c>
      <c r="D348" s="15"/>
      <c r="E348" s="15"/>
      <c r="F348" s="14" t="str">
        <f aca="false">IF(E348="","",IFERROR(INDEX(카테고리!$B$2:$B$8,MATCH(E348,카테고리!$A$2:$A$8,0)),""))</f>
        <v/>
      </c>
      <c r="G348" s="15"/>
      <c r="H348" s="18"/>
      <c r="I348" s="15"/>
      <c r="J348" s="15"/>
    </row>
    <row r="349" customFormat="false" ht="15" hidden="false" customHeight="false" outlineLevel="0" collapsed="false">
      <c r="A349" s="14" t="str">
        <f aca="false">IF(B349="","",ROW()-1)</f>
        <v/>
      </c>
      <c r="B349" s="16"/>
      <c r="C349" s="14" t="str">
        <f aca="false">IF(B349="","",YEAR(B349))</f>
        <v/>
      </c>
      <c r="D349" s="15"/>
      <c r="E349" s="15"/>
      <c r="F349" s="14" t="str">
        <f aca="false">IF(E349="","",IFERROR(INDEX(카테고리!$B$2:$B$8,MATCH(E349,카테고리!$A$2:$A$8,0)),""))</f>
        <v/>
      </c>
      <c r="G349" s="15"/>
      <c r="H349" s="18"/>
      <c r="I349" s="15"/>
      <c r="J349" s="15"/>
    </row>
    <row r="350" customFormat="false" ht="15" hidden="false" customHeight="false" outlineLevel="0" collapsed="false">
      <c r="A350" s="14" t="str">
        <f aca="false">IF(B350="","",ROW()-1)</f>
        <v/>
      </c>
      <c r="B350" s="16"/>
      <c r="C350" s="14" t="str">
        <f aca="false">IF(B350="","",YEAR(B350))</f>
        <v/>
      </c>
      <c r="D350" s="15"/>
      <c r="E350" s="15"/>
      <c r="F350" s="14" t="str">
        <f aca="false">IF(E350="","",IFERROR(INDEX(카테고리!$B$2:$B$8,MATCH(E350,카테고리!$A$2:$A$8,0)),""))</f>
        <v/>
      </c>
      <c r="G350" s="15"/>
      <c r="H350" s="18"/>
      <c r="I350" s="15"/>
      <c r="J350" s="15"/>
    </row>
    <row r="351" customFormat="false" ht="15" hidden="false" customHeight="false" outlineLevel="0" collapsed="false">
      <c r="A351" s="14" t="str">
        <f aca="false">IF(B351="","",ROW()-1)</f>
        <v/>
      </c>
      <c r="B351" s="16"/>
      <c r="C351" s="14" t="str">
        <f aca="false">IF(B351="","",YEAR(B351))</f>
        <v/>
      </c>
      <c r="D351" s="15"/>
      <c r="E351" s="15"/>
      <c r="F351" s="14" t="str">
        <f aca="false">IF(E351="","",IFERROR(INDEX(카테고리!$B$2:$B$8,MATCH(E351,카테고리!$A$2:$A$8,0)),""))</f>
        <v/>
      </c>
      <c r="G351" s="15"/>
      <c r="H351" s="18"/>
      <c r="I351" s="15"/>
      <c r="J351" s="15"/>
    </row>
    <row r="352" customFormat="false" ht="15" hidden="false" customHeight="false" outlineLevel="0" collapsed="false">
      <c r="A352" s="14" t="str">
        <f aca="false">IF(B352="","",ROW()-1)</f>
        <v/>
      </c>
      <c r="B352" s="16"/>
      <c r="C352" s="14" t="str">
        <f aca="false">IF(B352="","",YEAR(B352))</f>
        <v/>
      </c>
      <c r="D352" s="15"/>
      <c r="E352" s="15"/>
      <c r="F352" s="14" t="str">
        <f aca="false">IF(E352="","",IFERROR(INDEX(카테고리!$B$2:$B$8,MATCH(E352,카테고리!$A$2:$A$8,0)),""))</f>
        <v/>
      </c>
      <c r="G352" s="15"/>
      <c r="H352" s="18"/>
      <c r="I352" s="15"/>
      <c r="J352" s="15"/>
    </row>
    <row r="353" customFormat="false" ht="15" hidden="false" customHeight="false" outlineLevel="0" collapsed="false">
      <c r="A353" s="14" t="str">
        <f aca="false">IF(B353="","",ROW()-1)</f>
        <v/>
      </c>
      <c r="B353" s="16"/>
      <c r="C353" s="14" t="str">
        <f aca="false">IF(B353="","",YEAR(B353))</f>
        <v/>
      </c>
      <c r="D353" s="15"/>
      <c r="E353" s="15"/>
      <c r="F353" s="14" t="str">
        <f aca="false">IF(E353="","",IFERROR(INDEX(카테고리!$B$2:$B$8,MATCH(E353,카테고리!$A$2:$A$8,0)),""))</f>
        <v/>
      </c>
      <c r="G353" s="15"/>
      <c r="H353" s="18"/>
      <c r="I353" s="15"/>
      <c r="J353" s="15"/>
    </row>
    <row r="354" customFormat="false" ht="15" hidden="false" customHeight="false" outlineLevel="0" collapsed="false">
      <c r="A354" s="14" t="str">
        <f aca="false">IF(B354="","",ROW()-1)</f>
        <v/>
      </c>
      <c r="B354" s="16"/>
      <c r="C354" s="14" t="str">
        <f aca="false">IF(B354="","",YEAR(B354))</f>
        <v/>
      </c>
      <c r="D354" s="15"/>
      <c r="E354" s="15"/>
      <c r="F354" s="14" t="str">
        <f aca="false">IF(E354="","",IFERROR(INDEX(카테고리!$B$2:$B$8,MATCH(E354,카테고리!$A$2:$A$8,0)),""))</f>
        <v/>
      </c>
      <c r="G354" s="15"/>
      <c r="H354" s="18"/>
      <c r="I354" s="15"/>
      <c r="J354" s="15"/>
    </row>
    <row r="355" customFormat="false" ht="15" hidden="false" customHeight="false" outlineLevel="0" collapsed="false">
      <c r="A355" s="14" t="str">
        <f aca="false">IF(B355="","",ROW()-1)</f>
        <v/>
      </c>
      <c r="B355" s="16"/>
      <c r="C355" s="14" t="str">
        <f aca="false">IF(B355="","",YEAR(B355))</f>
        <v/>
      </c>
      <c r="D355" s="15"/>
      <c r="E355" s="15"/>
      <c r="F355" s="14" t="str">
        <f aca="false">IF(E355="","",IFERROR(INDEX(카테고리!$B$2:$B$8,MATCH(E355,카테고리!$A$2:$A$8,0)),""))</f>
        <v/>
      </c>
      <c r="G355" s="15"/>
      <c r="H355" s="18"/>
      <c r="I355" s="15"/>
      <c r="J355" s="15"/>
    </row>
    <row r="356" customFormat="false" ht="15" hidden="false" customHeight="false" outlineLevel="0" collapsed="false">
      <c r="A356" s="14" t="str">
        <f aca="false">IF(B356="","",ROW()-1)</f>
        <v/>
      </c>
      <c r="B356" s="16"/>
      <c r="C356" s="14" t="str">
        <f aca="false">IF(B356="","",YEAR(B356))</f>
        <v/>
      </c>
      <c r="D356" s="15"/>
      <c r="E356" s="15"/>
      <c r="F356" s="14" t="str">
        <f aca="false">IF(E356="","",IFERROR(INDEX(카테고리!$B$2:$B$8,MATCH(E356,카테고리!$A$2:$A$8,0)),""))</f>
        <v/>
      </c>
      <c r="G356" s="15"/>
      <c r="H356" s="18"/>
      <c r="I356" s="15"/>
      <c r="J356" s="15"/>
    </row>
    <row r="357" customFormat="false" ht="15" hidden="false" customHeight="false" outlineLevel="0" collapsed="false">
      <c r="A357" s="14" t="str">
        <f aca="false">IF(B357="","",ROW()-1)</f>
        <v/>
      </c>
      <c r="B357" s="16"/>
      <c r="C357" s="14" t="str">
        <f aca="false">IF(B357="","",YEAR(B357))</f>
        <v/>
      </c>
      <c r="D357" s="15"/>
      <c r="E357" s="15"/>
      <c r="F357" s="14" t="str">
        <f aca="false">IF(E357="","",IFERROR(INDEX(카테고리!$B$2:$B$8,MATCH(E357,카테고리!$A$2:$A$8,0)),""))</f>
        <v/>
      </c>
      <c r="G357" s="15"/>
      <c r="H357" s="18"/>
      <c r="I357" s="15"/>
      <c r="J357" s="15"/>
    </row>
    <row r="358" customFormat="false" ht="15" hidden="false" customHeight="false" outlineLevel="0" collapsed="false">
      <c r="A358" s="14" t="str">
        <f aca="false">IF(B358="","",ROW()-1)</f>
        <v/>
      </c>
      <c r="B358" s="16"/>
      <c r="C358" s="14" t="str">
        <f aca="false">IF(B358="","",YEAR(B358))</f>
        <v/>
      </c>
      <c r="D358" s="15"/>
      <c r="E358" s="15"/>
      <c r="F358" s="14" t="str">
        <f aca="false">IF(E358="","",IFERROR(INDEX(카테고리!$B$2:$B$8,MATCH(E358,카테고리!$A$2:$A$8,0)),""))</f>
        <v/>
      </c>
      <c r="G358" s="15"/>
      <c r="H358" s="18"/>
      <c r="I358" s="15"/>
      <c r="J358" s="15"/>
    </row>
    <row r="359" customFormat="false" ht="15" hidden="false" customHeight="false" outlineLevel="0" collapsed="false">
      <c r="A359" s="14" t="str">
        <f aca="false">IF(B359="","",ROW()-1)</f>
        <v/>
      </c>
      <c r="B359" s="16"/>
      <c r="C359" s="14" t="str">
        <f aca="false">IF(B359="","",YEAR(B359))</f>
        <v/>
      </c>
      <c r="D359" s="15"/>
      <c r="E359" s="15"/>
      <c r="F359" s="14" t="str">
        <f aca="false">IF(E359="","",IFERROR(INDEX(카테고리!$B$2:$B$8,MATCH(E359,카테고리!$A$2:$A$8,0)),""))</f>
        <v/>
      </c>
      <c r="G359" s="15"/>
      <c r="H359" s="18"/>
      <c r="I359" s="15"/>
      <c r="J359" s="15"/>
    </row>
    <row r="360" customFormat="false" ht="15" hidden="false" customHeight="false" outlineLevel="0" collapsed="false">
      <c r="A360" s="14" t="str">
        <f aca="false">IF(B360="","",ROW()-1)</f>
        <v/>
      </c>
      <c r="B360" s="16"/>
      <c r="C360" s="14" t="str">
        <f aca="false">IF(B360="","",YEAR(B360))</f>
        <v/>
      </c>
      <c r="D360" s="15"/>
      <c r="E360" s="15"/>
      <c r="F360" s="14" t="str">
        <f aca="false">IF(E360="","",IFERROR(INDEX(카테고리!$B$2:$B$8,MATCH(E360,카테고리!$A$2:$A$8,0)),""))</f>
        <v/>
      </c>
      <c r="G360" s="15"/>
      <c r="H360" s="18"/>
      <c r="I360" s="15"/>
      <c r="J360" s="15"/>
    </row>
    <row r="361" customFormat="false" ht="15" hidden="false" customHeight="false" outlineLevel="0" collapsed="false">
      <c r="A361" s="14" t="str">
        <f aca="false">IF(B361="","",ROW()-1)</f>
        <v/>
      </c>
      <c r="B361" s="16"/>
      <c r="C361" s="14" t="str">
        <f aca="false">IF(B361="","",YEAR(B361))</f>
        <v/>
      </c>
      <c r="D361" s="15"/>
      <c r="E361" s="15"/>
      <c r="F361" s="14" t="str">
        <f aca="false">IF(E361="","",IFERROR(INDEX(카테고리!$B$2:$B$8,MATCH(E361,카테고리!$A$2:$A$8,0)),""))</f>
        <v/>
      </c>
      <c r="G361" s="15"/>
      <c r="H361" s="18"/>
      <c r="I361" s="15"/>
      <c r="J361" s="15"/>
    </row>
    <row r="362" customFormat="false" ht="15" hidden="false" customHeight="false" outlineLevel="0" collapsed="false">
      <c r="A362" s="14" t="str">
        <f aca="false">IF(B362="","",ROW()-1)</f>
        <v/>
      </c>
      <c r="B362" s="16"/>
      <c r="C362" s="14" t="str">
        <f aca="false">IF(B362="","",YEAR(B362))</f>
        <v/>
      </c>
      <c r="D362" s="15"/>
      <c r="E362" s="15"/>
      <c r="F362" s="14" t="str">
        <f aca="false">IF(E362="","",IFERROR(INDEX(카테고리!$B$2:$B$8,MATCH(E362,카테고리!$A$2:$A$8,0)),""))</f>
        <v/>
      </c>
      <c r="G362" s="15"/>
      <c r="H362" s="18"/>
      <c r="I362" s="15"/>
      <c r="J362" s="15"/>
    </row>
    <row r="363" customFormat="false" ht="15" hidden="false" customHeight="false" outlineLevel="0" collapsed="false">
      <c r="A363" s="14" t="str">
        <f aca="false">IF(B363="","",ROW()-1)</f>
        <v/>
      </c>
      <c r="B363" s="16"/>
      <c r="C363" s="14" t="str">
        <f aca="false">IF(B363="","",YEAR(B363))</f>
        <v/>
      </c>
      <c r="D363" s="15"/>
      <c r="E363" s="15"/>
      <c r="F363" s="14" t="str">
        <f aca="false">IF(E363="","",IFERROR(INDEX(카테고리!$B$2:$B$8,MATCH(E363,카테고리!$A$2:$A$8,0)),""))</f>
        <v/>
      </c>
      <c r="G363" s="15"/>
      <c r="H363" s="18"/>
      <c r="I363" s="15"/>
      <c r="J363" s="15"/>
    </row>
    <row r="364" customFormat="false" ht="15" hidden="false" customHeight="false" outlineLevel="0" collapsed="false">
      <c r="A364" s="14" t="str">
        <f aca="false">IF(B364="","",ROW()-1)</f>
        <v/>
      </c>
      <c r="B364" s="16"/>
      <c r="C364" s="14" t="str">
        <f aca="false">IF(B364="","",YEAR(B364))</f>
        <v/>
      </c>
      <c r="D364" s="15"/>
      <c r="E364" s="15"/>
      <c r="F364" s="14" t="str">
        <f aca="false">IF(E364="","",IFERROR(INDEX(카테고리!$B$2:$B$8,MATCH(E364,카테고리!$A$2:$A$8,0)),""))</f>
        <v/>
      </c>
      <c r="G364" s="15"/>
      <c r="H364" s="18"/>
      <c r="I364" s="15"/>
      <c r="J364" s="15"/>
    </row>
    <row r="365" customFormat="false" ht="15" hidden="false" customHeight="false" outlineLevel="0" collapsed="false">
      <c r="A365" s="14" t="str">
        <f aca="false">IF(B365="","",ROW()-1)</f>
        <v/>
      </c>
      <c r="B365" s="16"/>
      <c r="C365" s="14" t="str">
        <f aca="false">IF(B365="","",YEAR(B365))</f>
        <v/>
      </c>
      <c r="D365" s="15"/>
      <c r="E365" s="15"/>
      <c r="F365" s="14" t="str">
        <f aca="false">IF(E365="","",IFERROR(INDEX(카테고리!$B$2:$B$8,MATCH(E365,카테고리!$A$2:$A$8,0)),""))</f>
        <v/>
      </c>
      <c r="G365" s="15"/>
      <c r="H365" s="18"/>
      <c r="I365" s="15"/>
      <c r="J365" s="15"/>
    </row>
    <row r="366" customFormat="false" ht="15" hidden="false" customHeight="false" outlineLevel="0" collapsed="false">
      <c r="A366" s="14" t="str">
        <f aca="false">IF(B366="","",ROW()-1)</f>
        <v/>
      </c>
      <c r="B366" s="16"/>
      <c r="C366" s="14" t="str">
        <f aca="false">IF(B366="","",YEAR(B366))</f>
        <v/>
      </c>
      <c r="D366" s="15"/>
      <c r="E366" s="15"/>
      <c r="F366" s="14" t="str">
        <f aca="false">IF(E366="","",IFERROR(INDEX(카테고리!$B$2:$B$8,MATCH(E366,카테고리!$A$2:$A$8,0)),""))</f>
        <v/>
      </c>
      <c r="G366" s="15"/>
      <c r="H366" s="18"/>
      <c r="I366" s="15"/>
      <c r="J366" s="15"/>
    </row>
    <row r="367" customFormat="false" ht="15" hidden="false" customHeight="false" outlineLevel="0" collapsed="false">
      <c r="A367" s="14" t="str">
        <f aca="false">IF(B367="","",ROW()-1)</f>
        <v/>
      </c>
      <c r="B367" s="16"/>
      <c r="C367" s="14" t="str">
        <f aca="false">IF(B367="","",YEAR(B367))</f>
        <v/>
      </c>
      <c r="D367" s="15"/>
      <c r="E367" s="15"/>
      <c r="F367" s="14" t="str">
        <f aca="false">IF(E367="","",IFERROR(INDEX(카테고리!$B$2:$B$8,MATCH(E367,카테고리!$A$2:$A$8,0)),""))</f>
        <v/>
      </c>
      <c r="G367" s="15"/>
      <c r="H367" s="18"/>
      <c r="I367" s="15"/>
      <c r="J367" s="15"/>
    </row>
    <row r="368" customFormat="false" ht="15" hidden="false" customHeight="false" outlineLevel="0" collapsed="false">
      <c r="A368" s="14" t="str">
        <f aca="false">IF(B368="","",ROW()-1)</f>
        <v/>
      </c>
      <c r="B368" s="16"/>
      <c r="C368" s="14" t="str">
        <f aca="false">IF(B368="","",YEAR(B368))</f>
        <v/>
      </c>
      <c r="D368" s="15"/>
      <c r="E368" s="15"/>
      <c r="F368" s="14" t="str">
        <f aca="false">IF(E368="","",IFERROR(INDEX(카테고리!$B$2:$B$8,MATCH(E368,카테고리!$A$2:$A$8,0)),""))</f>
        <v/>
      </c>
      <c r="G368" s="15"/>
      <c r="H368" s="18"/>
      <c r="I368" s="15"/>
      <c r="J368" s="15"/>
    </row>
    <row r="369" customFormat="false" ht="15" hidden="false" customHeight="false" outlineLevel="0" collapsed="false">
      <c r="A369" s="14" t="str">
        <f aca="false">IF(B369="","",ROW()-1)</f>
        <v/>
      </c>
      <c r="B369" s="16"/>
      <c r="C369" s="14" t="str">
        <f aca="false">IF(B369="","",YEAR(B369))</f>
        <v/>
      </c>
      <c r="D369" s="15"/>
      <c r="E369" s="15"/>
      <c r="F369" s="14" t="str">
        <f aca="false">IF(E369="","",IFERROR(INDEX(카테고리!$B$2:$B$8,MATCH(E369,카테고리!$A$2:$A$8,0)),""))</f>
        <v/>
      </c>
      <c r="G369" s="15"/>
      <c r="H369" s="18"/>
      <c r="I369" s="15"/>
      <c r="J369" s="15"/>
    </row>
    <row r="370" customFormat="false" ht="15" hidden="false" customHeight="false" outlineLevel="0" collapsed="false">
      <c r="A370" s="14" t="str">
        <f aca="false">IF(B370="","",ROW()-1)</f>
        <v/>
      </c>
      <c r="B370" s="16"/>
      <c r="C370" s="14" t="str">
        <f aca="false">IF(B370="","",YEAR(B370))</f>
        <v/>
      </c>
      <c r="D370" s="15"/>
      <c r="E370" s="15"/>
      <c r="F370" s="14" t="str">
        <f aca="false">IF(E370="","",IFERROR(INDEX(카테고리!$B$2:$B$8,MATCH(E370,카테고리!$A$2:$A$8,0)),""))</f>
        <v/>
      </c>
      <c r="G370" s="15"/>
      <c r="H370" s="18"/>
      <c r="I370" s="15"/>
      <c r="J370" s="15"/>
    </row>
    <row r="371" customFormat="false" ht="15" hidden="false" customHeight="false" outlineLevel="0" collapsed="false">
      <c r="A371" s="14" t="str">
        <f aca="false">IF(B371="","",ROW()-1)</f>
        <v/>
      </c>
      <c r="B371" s="16"/>
      <c r="C371" s="14" t="str">
        <f aca="false">IF(B371="","",YEAR(B371))</f>
        <v/>
      </c>
      <c r="D371" s="15"/>
      <c r="E371" s="15"/>
      <c r="F371" s="14" t="str">
        <f aca="false">IF(E371="","",IFERROR(INDEX(카테고리!$B$2:$B$8,MATCH(E371,카테고리!$A$2:$A$8,0)),""))</f>
        <v/>
      </c>
      <c r="G371" s="15"/>
      <c r="H371" s="18"/>
      <c r="I371" s="15"/>
      <c r="J371" s="15"/>
    </row>
    <row r="372" customFormat="false" ht="15" hidden="false" customHeight="false" outlineLevel="0" collapsed="false">
      <c r="A372" s="14" t="str">
        <f aca="false">IF(B372="","",ROW()-1)</f>
        <v/>
      </c>
      <c r="B372" s="16"/>
      <c r="C372" s="14" t="str">
        <f aca="false">IF(B372="","",YEAR(B372))</f>
        <v/>
      </c>
      <c r="D372" s="15"/>
      <c r="E372" s="15"/>
      <c r="F372" s="14" t="str">
        <f aca="false">IF(E372="","",IFERROR(INDEX(카테고리!$B$2:$B$8,MATCH(E372,카테고리!$A$2:$A$8,0)),""))</f>
        <v/>
      </c>
      <c r="G372" s="15"/>
      <c r="H372" s="18"/>
      <c r="I372" s="15"/>
      <c r="J372" s="15"/>
    </row>
    <row r="373" customFormat="false" ht="15" hidden="false" customHeight="false" outlineLevel="0" collapsed="false">
      <c r="A373" s="14" t="str">
        <f aca="false">IF(B373="","",ROW()-1)</f>
        <v/>
      </c>
      <c r="B373" s="16"/>
      <c r="C373" s="14" t="str">
        <f aca="false">IF(B373="","",YEAR(B373))</f>
        <v/>
      </c>
      <c r="D373" s="15"/>
      <c r="E373" s="15"/>
      <c r="F373" s="14" t="str">
        <f aca="false">IF(E373="","",IFERROR(INDEX(카테고리!$B$2:$B$8,MATCH(E373,카테고리!$A$2:$A$8,0)),""))</f>
        <v/>
      </c>
      <c r="G373" s="15"/>
      <c r="H373" s="18"/>
      <c r="I373" s="15"/>
      <c r="J373" s="15"/>
    </row>
    <row r="374" customFormat="false" ht="15" hidden="false" customHeight="false" outlineLevel="0" collapsed="false">
      <c r="A374" s="14" t="str">
        <f aca="false">IF(B374="","",ROW()-1)</f>
        <v/>
      </c>
      <c r="B374" s="16"/>
      <c r="C374" s="14" t="str">
        <f aca="false">IF(B374="","",YEAR(B374))</f>
        <v/>
      </c>
      <c r="D374" s="15"/>
      <c r="E374" s="15"/>
      <c r="F374" s="14" t="str">
        <f aca="false">IF(E374="","",IFERROR(INDEX(카테고리!$B$2:$B$8,MATCH(E374,카테고리!$A$2:$A$8,0)),""))</f>
        <v/>
      </c>
      <c r="G374" s="15"/>
      <c r="H374" s="18"/>
      <c r="I374" s="15"/>
      <c r="J374" s="15"/>
    </row>
    <row r="375" customFormat="false" ht="15" hidden="false" customHeight="false" outlineLevel="0" collapsed="false">
      <c r="A375" s="14" t="str">
        <f aca="false">IF(B375="","",ROW()-1)</f>
        <v/>
      </c>
      <c r="B375" s="16"/>
      <c r="C375" s="14" t="str">
        <f aca="false">IF(B375="","",YEAR(B375))</f>
        <v/>
      </c>
      <c r="D375" s="15"/>
      <c r="E375" s="15"/>
      <c r="F375" s="14" t="str">
        <f aca="false">IF(E375="","",IFERROR(INDEX(카테고리!$B$2:$B$8,MATCH(E375,카테고리!$A$2:$A$8,0)),""))</f>
        <v/>
      </c>
      <c r="G375" s="15"/>
      <c r="H375" s="18"/>
      <c r="I375" s="15"/>
      <c r="J375" s="15"/>
    </row>
    <row r="376" customFormat="false" ht="15" hidden="false" customHeight="false" outlineLevel="0" collapsed="false">
      <c r="A376" s="14" t="str">
        <f aca="false">IF(B376="","",ROW()-1)</f>
        <v/>
      </c>
      <c r="B376" s="16"/>
      <c r="C376" s="14" t="str">
        <f aca="false">IF(B376="","",YEAR(B376))</f>
        <v/>
      </c>
      <c r="D376" s="15"/>
      <c r="E376" s="15"/>
      <c r="F376" s="14" t="str">
        <f aca="false">IF(E376="","",IFERROR(INDEX(카테고리!$B$2:$B$8,MATCH(E376,카테고리!$A$2:$A$8,0)),""))</f>
        <v/>
      </c>
      <c r="G376" s="15"/>
      <c r="H376" s="18"/>
      <c r="I376" s="15"/>
      <c r="J376" s="15"/>
    </row>
    <row r="377" customFormat="false" ht="15" hidden="false" customHeight="false" outlineLevel="0" collapsed="false">
      <c r="A377" s="14" t="str">
        <f aca="false">IF(B377="","",ROW()-1)</f>
        <v/>
      </c>
      <c r="B377" s="16"/>
      <c r="C377" s="14" t="str">
        <f aca="false">IF(B377="","",YEAR(B377))</f>
        <v/>
      </c>
      <c r="D377" s="15"/>
      <c r="E377" s="15"/>
      <c r="F377" s="14" t="str">
        <f aca="false">IF(E377="","",IFERROR(INDEX(카테고리!$B$2:$B$8,MATCH(E377,카테고리!$A$2:$A$8,0)),""))</f>
        <v/>
      </c>
      <c r="G377" s="15"/>
      <c r="H377" s="18"/>
      <c r="I377" s="15"/>
      <c r="J377" s="15"/>
    </row>
    <row r="378" customFormat="false" ht="15" hidden="false" customHeight="false" outlineLevel="0" collapsed="false">
      <c r="A378" s="14" t="str">
        <f aca="false">IF(B378="","",ROW()-1)</f>
        <v/>
      </c>
      <c r="B378" s="16"/>
      <c r="C378" s="14" t="str">
        <f aca="false">IF(B378="","",YEAR(B378))</f>
        <v/>
      </c>
      <c r="D378" s="15"/>
      <c r="E378" s="15"/>
      <c r="F378" s="14" t="str">
        <f aca="false">IF(E378="","",IFERROR(INDEX(카테고리!$B$2:$B$8,MATCH(E378,카테고리!$A$2:$A$8,0)),""))</f>
        <v/>
      </c>
      <c r="G378" s="15"/>
      <c r="H378" s="18"/>
      <c r="I378" s="15"/>
      <c r="J378" s="15"/>
    </row>
    <row r="379" customFormat="false" ht="15" hidden="false" customHeight="false" outlineLevel="0" collapsed="false">
      <c r="A379" s="14" t="str">
        <f aca="false">IF(B379="","",ROW()-1)</f>
        <v/>
      </c>
      <c r="B379" s="16"/>
      <c r="C379" s="14" t="str">
        <f aca="false">IF(B379="","",YEAR(B379))</f>
        <v/>
      </c>
      <c r="D379" s="15"/>
      <c r="E379" s="15"/>
      <c r="F379" s="14" t="str">
        <f aca="false">IF(E379="","",IFERROR(INDEX(카테고리!$B$2:$B$8,MATCH(E379,카테고리!$A$2:$A$8,0)),""))</f>
        <v/>
      </c>
      <c r="G379" s="15"/>
      <c r="H379" s="18"/>
      <c r="I379" s="15"/>
      <c r="J379" s="15"/>
    </row>
    <row r="380" customFormat="false" ht="15" hidden="false" customHeight="false" outlineLevel="0" collapsed="false">
      <c r="A380" s="14" t="str">
        <f aca="false">IF(B380="","",ROW()-1)</f>
        <v/>
      </c>
      <c r="B380" s="16"/>
      <c r="C380" s="14" t="str">
        <f aca="false">IF(B380="","",YEAR(B380))</f>
        <v/>
      </c>
      <c r="D380" s="15"/>
      <c r="E380" s="15"/>
      <c r="F380" s="14" t="str">
        <f aca="false">IF(E380="","",IFERROR(INDEX(카테고리!$B$2:$B$8,MATCH(E380,카테고리!$A$2:$A$8,0)),""))</f>
        <v/>
      </c>
      <c r="G380" s="15"/>
      <c r="H380" s="18"/>
      <c r="I380" s="15"/>
      <c r="J380" s="15"/>
    </row>
    <row r="381" customFormat="false" ht="15" hidden="false" customHeight="false" outlineLevel="0" collapsed="false">
      <c r="A381" s="14" t="str">
        <f aca="false">IF(B381="","",ROW()-1)</f>
        <v/>
      </c>
      <c r="B381" s="16"/>
      <c r="C381" s="14" t="str">
        <f aca="false">IF(B381="","",YEAR(B381))</f>
        <v/>
      </c>
      <c r="D381" s="15"/>
      <c r="E381" s="15"/>
      <c r="F381" s="14" t="str">
        <f aca="false">IF(E381="","",IFERROR(INDEX(카테고리!$B$2:$B$8,MATCH(E381,카테고리!$A$2:$A$8,0)),""))</f>
        <v/>
      </c>
      <c r="G381" s="15"/>
      <c r="H381" s="18"/>
      <c r="I381" s="15"/>
      <c r="J381" s="15"/>
    </row>
    <row r="382" customFormat="false" ht="15" hidden="false" customHeight="false" outlineLevel="0" collapsed="false">
      <c r="A382" s="14" t="str">
        <f aca="false">IF(B382="","",ROW()-1)</f>
        <v/>
      </c>
      <c r="B382" s="16"/>
      <c r="C382" s="14" t="str">
        <f aca="false">IF(B382="","",YEAR(B382))</f>
        <v/>
      </c>
      <c r="D382" s="15"/>
      <c r="E382" s="15"/>
      <c r="F382" s="14" t="str">
        <f aca="false">IF(E382="","",IFERROR(INDEX(카테고리!$B$2:$B$8,MATCH(E382,카테고리!$A$2:$A$8,0)),""))</f>
        <v/>
      </c>
      <c r="G382" s="15"/>
      <c r="H382" s="18"/>
      <c r="I382" s="15"/>
      <c r="J382" s="15"/>
    </row>
    <row r="383" customFormat="false" ht="15" hidden="false" customHeight="false" outlineLevel="0" collapsed="false">
      <c r="A383" s="14" t="str">
        <f aca="false">IF(B383="","",ROW()-1)</f>
        <v/>
      </c>
      <c r="B383" s="16"/>
      <c r="C383" s="14" t="str">
        <f aca="false">IF(B383="","",YEAR(B383))</f>
        <v/>
      </c>
      <c r="D383" s="15"/>
      <c r="E383" s="15"/>
      <c r="F383" s="14" t="str">
        <f aca="false">IF(E383="","",IFERROR(INDEX(카테고리!$B$2:$B$8,MATCH(E383,카테고리!$A$2:$A$8,0)),""))</f>
        <v/>
      </c>
      <c r="G383" s="15"/>
      <c r="H383" s="18"/>
      <c r="I383" s="15"/>
      <c r="J383" s="15"/>
    </row>
    <row r="384" customFormat="false" ht="15" hidden="false" customHeight="false" outlineLevel="0" collapsed="false">
      <c r="A384" s="14" t="str">
        <f aca="false">IF(B384="","",ROW()-1)</f>
        <v/>
      </c>
      <c r="B384" s="16"/>
      <c r="C384" s="14" t="str">
        <f aca="false">IF(B384="","",YEAR(B384))</f>
        <v/>
      </c>
      <c r="D384" s="15"/>
      <c r="E384" s="15"/>
      <c r="F384" s="14" t="str">
        <f aca="false">IF(E384="","",IFERROR(INDEX(카테고리!$B$2:$B$8,MATCH(E384,카테고리!$A$2:$A$8,0)),""))</f>
        <v/>
      </c>
      <c r="G384" s="15"/>
      <c r="H384" s="18"/>
      <c r="I384" s="15"/>
      <c r="J384" s="15"/>
    </row>
    <row r="385" customFormat="false" ht="15" hidden="false" customHeight="false" outlineLevel="0" collapsed="false">
      <c r="A385" s="14" t="str">
        <f aca="false">IF(B385="","",ROW()-1)</f>
        <v/>
      </c>
      <c r="B385" s="16"/>
      <c r="C385" s="14" t="str">
        <f aca="false">IF(B385="","",YEAR(B385))</f>
        <v/>
      </c>
      <c r="D385" s="15"/>
      <c r="E385" s="15"/>
      <c r="F385" s="14" t="str">
        <f aca="false">IF(E385="","",IFERROR(INDEX(카테고리!$B$2:$B$8,MATCH(E385,카테고리!$A$2:$A$8,0)),""))</f>
        <v/>
      </c>
      <c r="G385" s="15"/>
      <c r="H385" s="18"/>
      <c r="I385" s="15"/>
      <c r="J385" s="15"/>
    </row>
    <row r="386" customFormat="false" ht="15" hidden="false" customHeight="false" outlineLevel="0" collapsed="false">
      <c r="A386" s="14" t="str">
        <f aca="false">IF(B386="","",ROW()-1)</f>
        <v/>
      </c>
      <c r="B386" s="16"/>
      <c r="C386" s="14" t="str">
        <f aca="false">IF(B386="","",YEAR(B386))</f>
        <v/>
      </c>
      <c r="D386" s="15"/>
      <c r="E386" s="15"/>
      <c r="F386" s="14" t="str">
        <f aca="false">IF(E386="","",IFERROR(INDEX(카테고리!$B$2:$B$8,MATCH(E386,카테고리!$A$2:$A$8,0)),""))</f>
        <v/>
      </c>
      <c r="G386" s="15"/>
      <c r="H386" s="18"/>
      <c r="I386" s="15"/>
      <c r="J386" s="15"/>
    </row>
    <row r="387" customFormat="false" ht="15" hidden="false" customHeight="false" outlineLevel="0" collapsed="false">
      <c r="A387" s="14" t="str">
        <f aca="false">IF(B387="","",ROW()-1)</f>
        <v/>
      </c>
      <c r="B387" s="16"/>
      <c r="C387" s="14" t="str">
        <f aca="false">IF(B387="","",YEAR(B387))</f>
        <v/>
      </c>
      <c r="D387" s="15"/>
      <c r="E387" s="15"/>
      <c r="F387" s="14" t="str">
        <f aca="false">IF(E387="","",IFERROR(INDEX(카테고리!$B$2:$B$8,MATCH(E387,카테고리!$A$2:$A$8,0)),""))</f>
        <v/>
      </c>
      <c r="G387" s="15"/>
      <c r="H387" s="18"/>
      <c r="I387" s="15"/>
      <c r="J387" s="15"/>
    </row>
    <row r="388" customFormat="false" ht="15" hidden="false" customHeight="false" outlineLevel="0" collapsed="false">
      <c r="A388" s="14" t="str">
        <f aca="false">IF(B388="","",ROW()-1)</f>
        <v/>
      </c>
      <c r="B388" s="16"/>
      <c r="C388" s="14" t="str">
        <f aca="false">IF(B388="","",YEAR(B388))</f>
        <v/>
      </c>
      <c r="D388" s="15"/>
      <c r="E388" s="15"/>
      <c r="F388" s="14" t="str">
        <f aca="false">IF(E388="","",IFERROR(INDEX(카테고리!$B$2:$B$8,MATCH(E388,카테고리!$A$2:$A$8,0)),""))</f>
        <v/>
      </c>
      <c r="G388" s="15"/>
      <c r="H388" s="18"/>
      <c r="I388" s="15"/>
      <c r="J388" s="15"/>
    </row>
    <row r="389" customFormat="false" ht="15" hidden="false" customHeight="false" outlineLevel="0" collapsed="false">
      <c r="A389" s="14" t="str">
        <f aca="false">IF(B389="","",ROW()-1)</f>
        <v/>
      </c>
      <c r="B389" s="16"/>
      <c r="C389" s="14" t="str">
        <f aca="false">IF(B389="","",YEAR(B389))</f>
        <v/>
      </c>
      <c r="D389" s="15"/>
      <c r="E389" s="15"/>
      <c r="F389" s="14" t="str">
        <f aca="false">IF(E389="","",IFERROR(INDEX(카테고리!$B$2:$B$8,MATCH(E389,카테고리!$A$2:$A$8,0)),""))</f>
        <v/>
      </c>
      <c r="G389" s="15"/>
      <c r="H389" s="18"/>
      <c r="I389" s="15"/>
      <c r="J389" s="15"/>
    </row>
    <row r="390" customFormat="false" ht="15" hidden="false" customHeight="false" outlineLevel="0" collapsed="false">
      <c r="A390" s="14" t="str">
        <f aca="false">IF(B390="","",ROW()-1)</f>
        <v/>
      </c>
      <c r="B390" s="16"/>
      <c r="C390" s="14" t="str">
        <f aca="false">IF(B390="","",YEAR(B390))</f>
        <v/>
      </c>
      <c r="D390" s="15"/>
      <c r="E390" s="15"/>
      <c r="F390" s="14" t="str">
        <f aca="false">IF(E390="","",IFERROR(INDEX(카테고리!$B$2:$B$8,MATCH(E390,카테고리!$A$2:$A$8,0)),""))</f>
        <v/>
      </c>
      <c r="G390" s="15"/>
      <c r="H390" s="18"/>
      <c r="I390" s="15"/>
      <c r="J390" s="15"/>
    </row>
    <row r="391" customFormat="false" ht="15" hidden="false" customHeight="false" outlineLevel="0" collapsed="false">
      <c r="A391" s="14" t="str">
        <f aca="false">IF(B391="","",ROW()-1)</f>
        <v/>
      </c>
      <c r="B391" s="16"/>
      <c r="C391" s="14" t="str">
        <f aca="false">IF(B391="","",YEAR(B391))</f>
        <v/>
      </c>
      <c r="D391" s="15"/>
      <c r="E391" s="15"/>
      <c r="F391" s="14" t="str">
        <f aca="false">IF(E391="","",IFERROR(INDEX(카테고리!$B$2:$B$8,MATCH(E391,카테고리!$A$2:$A$8,0)),""))</f>
        <v/>
      </c>
      <c r="G391" s="15"/>
      <c r="H391" s="18"/>
      <c r="I391" s="15"/>
      <c r="J391" s="15"/>
    </row>
    <row r="392" customFormat="false" ht="15" hidden="false" customHeight="false" outlineLevel="0" collapsed="false">
      <c r="A392" s="14" t="str">
        <f aca="false">IF(B392="","",ROW()-1)</f>
        <v/>
      </c>
      <c r="B392" s="16"/>
      <c r="C392" s="14" t="str">
        <f aca="false">IF(B392="","",YEAR(B392))</f>
        <v/>
      </c>
      <c r="D392" s="15"/>
      <c r="E392" s="15"/>
      <c r="F392" s="14" t="str">
        <f aca="false">IF(E392="","",IFERROR(INDEX(카테고리!$B$2:$B$8,MATCH(E392,카테고리!$A$2:$A$8,0)),""))</f>
        <v/>
      </c>
      <c r="G392" s="15"/>
      <c r="H392" s="18"/>
      <c r="I392" s="15"/>
      <c r="J392" s="15"/>
    </row>
    <row r="393" customFormat="false" ht="15" hidden="false" customHeight="false" outlineLevel="0" collapsed="false">
      <c r="A393" s="14" t="str">
        <f aca="false">IF(B393="","",ROW()-1)</f>
        <v/>
      </c>
      <c r="B393" s="16"/>
      <c r="C393" s="14" t="str">
        <f aca="false">IF(B393="","",YEAR(B393))</f>
        <v/>
      </c>
      <c r="D393" s="15"/>
      <c r="E393" s="15"/>
      <c r="F393" s="14" t="str">
        <f aca="false">IF(E393="","",IFERROR(INDEX(카테고리!$B$2:$B$8,MATCH(E393,카테고리!$A$2:$A$8,0)),""))</f>
        <v/>
      </c>
      <c r="G393" s="15"/>
      <c r="H393" s="18"/>
      <c r="I393" s="15"/>
      <c r="J393" s="15"/>
    </row>
    <row r="394" customFormat="false" ht="15" hidden="false" customHeight="false" outlineLevel="0" collapsed="false">
      <c r="A394" s="14" t="str">
        <f aca="false">IF(B394="","",ROW()-1)</f>
        <v/>
      </c>
      <c r="B394" s="16"/>
      <c r="C394" s="14" t="str">
        <f aca="false">IF(B394="","",YEAR(B394))</f>
        <v/>
      </c>
      <c r="D394" s="15"/>
      <c r="E394" s="15"/>
      <c r="F394" s="14" t="str">
        <f aca="false">IF(E394="","",IFERROR(INDEX(카테고리!$B$2:$B$8,MATCH(E394,카테고리!$A$2:$A$8,0)),""))</f>
        <v/>
      </c>
      <c r="G394" s="15"/>
      <c r="H394" s="18"/>
      <c r="I394" s="15"/>
      <c r="J394" s="15"/>
    </row>
    <row r="395" customFormat="false" ht="15" hidden="false" customHeight="false" outlineLevel="0" collapsed="false">
      <c r="A395" s="14" t="str">
        <f aca="false">IF(B395="","",ROW()-1)</f>
        <v/>
      </c>
      <c r="B395" s="16"/>
      <c r="C395" s="14" t="str">
        <f aca="false">IF(B395="","",YEAR(B395))</f>
        <v/>
      </c>
      <c r="D395" s="15"/>
      <c r="E395" s="15"/>
      <c r="F395" s="14" t="str">
        <f aca="false">IF(E395="","",IFERROR(INDEX(카테고리!$B$2:$B$8,MATCH(E395,카테고리!$A$2:$A$8,0)),""))</f>
        <v/>
      </c>
      <c r="G395" s="15"/>
      <c r="H395" s="18"/>
      <c r="I395" s="15"/>
      <c r="J395" s="15"/>
    </row>
    <row r="396" customFormat="false" ht="15" hidden="false" customHeight="false" outlineLevel="0" collapsed="false">
      <c r="A396" s="14" t="str">
        <f aca="false">IF(B396="","",ROW()-1)</f>
        <v/>
      </c>
      <c r="B396" s="16"/>
      <c r="C396" s="14" t="str">
        <f aca="false">IF(B396="","",YEAR(B396))</f>
        <v/>
      </c>
      <c r="D396" s="15"/>
      <c r="E396" s="15"/>
      <c r="F396" s="14" t="str">
        <f aca="false">IF(E396="","",IFERROR(INDEX(카테고리!$B$2:$B$8,MATCH(E396,카테고리!$A$2:$A$8,0)),""))</f>
        <v/>
      </c>
      <c r="G396" s="15"/>
      <c r="H396" s="18"/>
      <c r="I396" s="15"/>
      <c r="J396" s="15"/>
    </row>
    <row r="397" customFormat="false" ht="15" hidden="false" customHeight="false" outlineLevel="0" collapsed="false">
      <c r="A397" s="14" t="str">
        <f aca="false">IF(B397="","",ROW()-1)</f>
        <v/>
      </c>
      <c r="B397" s="16"/>
      <c r="C397" s="14" t="str">
        <f aca="false">IF(B397="","",YEAR(B397))</f>
        <v/>
      </c>
      <c r="D397" s="15"/>
      <c r="E397" s="15"/>
      <c r="F397" s="14" t="str">
        <f aca="false">IF(E397="","",IFERROR(INDEX(카테고리!$B$2:$B$8,MATCH(E397,카테고리!$A$2:$A$8,0)),""))</f>
        <v/>
      </c>
      <c r="G397" s="15"/>
      <c r="H397" s="18"/>
      <c r="I397" s="15"/>
      <c r="J397" s="15"/>
    </row>
    <row r="398" customFormat="false" ht="15" hidden="false" customHeight="false" outlineLevel="0" collapsed="false">
      <c r="A398" s="14" t="str">
        <f aca="false">IF(B398="","",ROW()-1)</f>
        <v/>
      </c>
      <c r="B398" s="16"/>
      <c r="C398" s="14" t="str">
        <f aca="false">IF(B398="","",YEAR(B398))</f>
        <v/>
      </c>
      <c r="D398" s="15"/>
      <c r="E398" s="15"/>
      <c r="F398" s="14" t="str">
        <f aca="false">IF(E398="","",IFERROR(INDEX(카테고리!$B$2:$B$8,MATCH(E398,카테고리!$A$2:$A$8,0)),""))</f>
        <v/>
      </c>
      <c r="G398" s="15"/>
      <c r="H398" s="18"/>
      <c r="I398" s="15"/>
      <c r="J398" s="15"/>
    </row>
    <row r="399" customFormat="false" ht="15" hidden="false" customHeight="false" outlineLevel="0" collapsed="false">
      <c r="A399" s="14" t="str">
        <f aca="false">IF(B399="","",ROW()-1)</f>
        <v/>
      </c>
      <c r="B399" s="16"/>
      <c r="C399" s="14" t="str">
        <f aca="false">IF(B399="","",YEAR(B399))</f>
        <v/>
      </c>
      <c r="D399" s="15"/>
      <c r="E399" s="15"/>
      <c r="F399" s="14" t="str">
        <f aca="false">IF(E399="","",IFERROR(INDEX(카테고리!$B$2:$B$8,MATCH(E399,카테고리!$A$2:$A$8,0)),""))</f>
        <v/>
      </c>
      <c r="G399" s="15"/>
      <c r="H399" s="18"/>
      <c r="I399" s="15"/>
      <c r="J399" s="15"/>
    </row>
    <row r="400" customFormat="false" ht="15" hidden="false" customHeight="false" outlineLevel="0" collapsed="false">
      <c r="A400" s="14" t="str">
        <f aca="false">IF(B400="","",ROW()-1)</f>
        <v/>
      </c>
      <c r="B400" s="16"/>
      <c r="C400" s="14" t="str">
        <f aca="false">IF(B400="","",YEAR(B400))</f>
        <v/>
      </c>
      <c r="D400" s="15"/>
      <c r="E400" s="15"/>
      <c r="F400" s="14" t="str">
        <f aca="false">IF(E400="","",IFERROR(INDEX(카테고리!$B$2:$B$8,MATCH(E400,카테고리!$A$2:$A$8,0)),""))</f>
        <v/>
      </c>
      <c r="G400" s="15"/>
      <c r="H400" s="18"/>
      <c r="I400" s="15"/>
      <c r="J400" s="15"/>
    </row>
    <row r="401" customFormat="false" ht="15" hidden="false" customHeight="false" outlineLevel="0" collapsed="false">
      <c r="A401" s="14" t="str">
        <f aca="false">IF(B401="","",ROW()-1)</f>
        <v/>
      </c>
      <c r="B401" s="16"/>
      <c r="C401" s="14" t="str">
        <f aca="false">IF(B401="","",YEAR(B401))</f>
        <v/>
      </c>
      <c r="D401" s="15"/>
      <c r="E401" s="15"/>
      <c r="F401" s="14" t="str">
        <f aca="false">IF(E401="","",IFERROR(INDEX(카테고리!$B$2:$B$8,MATCH(E401,카테고리!$A$2:$A$8,0)),""))</f>
        <v/>
      </c>
      <c r="G401" s="15"/>
      <c r="H401" s="18"/>
      <c r="I401" s="15"/>
      <c r="J401" s="15"/>
    </row>
    <row r="402" customFormat="false" ht="15" hidden="false" customHeight="false" outlineLevel="0" collapsed="false">
      <c r="A402" s="14" t="str">
        <f aca="false">IF(B402="","",ROW()-1)</f>
        <v/>
      </c>
      <c r="B402" s="16"/>
      <c r="C402" s="14" t="str">
        <f aca="false">IF(B402="","",YEAR(B402))</f>
        <v/>
      </c>
      <c r="D402" s="15"/>
      <c r="E402" s="15"/>
      <c r="F402" s="14" t="str">
        <f aca="false">IF(E402="","",IFERROR(INDEX(카테고리!$B$2:$B$8,MATCH(E402,카테고리!$A$2:$A$8,0)),""))</f>
        <v/>
      </c>
      <c r="G402" s="15"/>
      <c r="H402" s="18"/>
      <c r="I402" s="15"/>
      <c r="J402" s="15"/>
    </row>
    <row r="403" customFormat="false" ht="15" hidden="false" customHeight="false" outlineLevel="0" collapsed="false">
      <c r="A403" s="14" t="str">
        <f aca="false">IF(B403="","",ROW()-1)</f>
        <v/>
      </c>
      <c r="B403" s="16"/>
      <c r="C403" s="14" t="str">
        <f aca="false">IF(B403="","",YEAR(B403))</f>
        <v/>
      </c>
      <c r="D403" s="15"/>
      <c r="E403" s="15"/>
      <c r="F403" s="14" t="str">
        <f aca="false">IF(E403="","",IFERROR(INDEX(카테고리!$B$2:$B$8,MATCH(E403,카테고리!$A$2:$A$8,0)),""))</f>
        <v/>
      </c>
      <c r="G403" s="15"/>
      <c r="H403" s="18"/>
      <c r="I403" s="15"/>
      <c r="J403" s="15"/>
    </row>
    <row r="404" customFormat="false" ht="15" hidden="false" customHeight="false" outlineLevel="0" collapsed="false">
      <c r="A404" s="14" t="str">
        <f aca="false">IF(B404="","",ROW()-1)</f>
        <v/>
      </c>
      <c r="B404" s="16"/>
      <c r="C404" s="14" t="str">
        <f aca="false">IF(B404="","",YEAR(B404))</f>
        <v/>
      </c>
      <c r="D404" s="15"/>
      <c r="E404" s="15"/>
      <c r="F404" s="14" t="str">
        <f aca="false">IF(E404="","",IFERROR(INDEX(카테고리!$B$2:$B$8,MATCH(E404,카테고리!$A$2:$A$8,0)),""))</f>
        <v/>
      </c>
      <c r="G404" s="15"/>
      <c r="H404" s="18"/>
      <c r="I404" s="15"/>
      <c r="J404" s="15"/>
    </row>
    <row r="405" customFormat="false" ht="15" hidden="false" customHeight="false" outlineLevel="0" collapsed="false">
      <c r="A405" s="14" t="str">
        <f aca="false">IF(B405="","",ROW()-1)</f>
        <v/>
      </c>
      <c r="B405" s="16"/>
      <c r="C405" s="14" t="str">
        <f aca="false">IF(B405="","",YEAR(B405))</f>
        <v/>
      </c>
      <c r="D405" s="15"/>
      <c r="E405" s="15"/>
      <c r="F405" s="14" t="str">
        <f aca="false">IF(E405="","",IFERROR(INDEX(카테고리!$B$2:$B$8,MATCH(E405,카테고리!$A$2:$A$8,0)),""))</f>
        <v/>
      </c>
      <c r="G405" s="15"/>
      <c r="H405" s="18"/>
      <c r="I405" s="15"/>
      <c r="J405" s="15"/>
    </row>
    <row r="406" customFormat="false" ht="15" hidden="false" customHeight="false" outlineLevel="0" collapsed="false">
      <c r="A406" s="14" t="str">
        <f aca="false">IF(B406="","",ROW()-1)</f>
        <v/>
      </c>
      <c r="B406" s="16"/>
      <c r="C406" s="14" t="str">
        <f aca="false">IF(B406="","",YEAR(B406))</f>
        <v/>
      </c>
      <c r="D406" s="15"/>
      <c r="E406" s="15"/>
      <c r="F406" s="14" t="str">
        <f aca="false">IF(E406="","",IFERROR(INDEX(카테고리!$B$2:$B$8,MATCH(E406,카테고리!$A$2:$A$8,0)),""))</f>
        <v/>
      </c>
      <c r="G406" s="15"/>
      <c r="H406" s="18"/>
      <c r="I406" s="15"/>
      <c r="J406" s="15"/>
    </row>
    <row r="407" customFormat="false" ht="15" hidden="false" customHeight="false" outlineLevel="0" collapsed="false">
      <c r="A407" s="14" t="str">
        <f aca="false">IF(B407="","",ROW()-1)</f>
        <v/>
      </c>
      <c r="B407" s="16"/>
      <c r="C407" s="14" t="str">
        <f aca="false">IF(B407="","",YEAR(B407))</f>
        <v/>
      </c>
      <c r="D407" s="15"/>
      <c r="E407" s="15"/>
      <c r="F407" s="14" t="str">
        <f aca="false">IF(E407="","",IFERROR(INDEX(카테고리!$B$2:$B$8,MATCH(E407,카테고리!$A$2:$A$8,0)),""))</f>
        <v/>
      </c>
      <c r="G407" s="15"/>
      <c r="H407" s="18"/>
      <c r="I407" s="15"/>
      <c r="J407" s="15"/>
    </row>
    <row r="408" customFormat="false" ht="15" hidden="false" customHeight="false" outlineLevel="0" collapsed="false">
      <c r="A408" s="14" t="str">
        <f aca="false">IF(B408="","",ROW()-1)</f>
        <v/>
      </c>
      <c r="B408" s="16"/>
      <c r="C408" s="14" t="str">
        <f aca="false">IF(B408="","",YEAR(B408))</f>
        <v/>
      </c>
      <c r="D408" s="15"/>
      <c r="E408" s="15"/>
      <c r="F408" s="14" t="str">
        <f aca="false">IF(E408="","",IFERROR(INDEX(카테고리!$B$2:$B$8,MATCH(E408,카테고리!$A$2:$A$8,0)),""))</f>
        <v/>
      </c>
      <c r="G408" s="15"/>
      <c r="H408" s="18"/>
      <c r="I408" s="15"/>
      <c r="J408" s="15"/>
    </row>
    <row r="409" customFormat="false" ht="15" hidden="false" customHeight="false" outlineLevel="0" collapsed="false">
      <c r="A409" s="14" t="str">
        <f aca="false">IF(B409="","",ROW()-1)</f>
        <v/>
      </c>
      <c r="B409" s="16"/>
      <c r="C409" s="14" t="str">
        <f aca="false">IF(B409="","",YEAR(B409))</f>
        <v/>
      </c>
      <c r="D409" s="15"/>
      <c r="E409" s="15"/>
      <c r="F409" s="14" t="str">
        <f aca="false">IF(E409="","",IFERROR(INDEX(카테고리!$B$2:$B$8,MATCH(E409,카테고리!$A$2:$A$8,0)),""))</f>
        <v/>
      </c>
      <c r="G409" s="15"/>
      <c r="H409" s="18"/>
      <c r="I409" s="15"/>
      <c r="J409" s="15"/>
    </row>
    <row r="410" customFormat="false" ht="15" hidden="false" customHeight="false" outlineLevel="0" collapsed="false">
      <c r="A410" s="14" t="str">
        <f aca="false">IF(B410="","",ROW()-1)</f>
        <v/>
      </c>
      <c r="B410" s="16"/>
      <c r="C410" s="14" t="str">
        <f aca="false">IF(B410="","",YEAR(B410))</f>
        <v/>
      </c>
      <c r="D410" s="15"/>
      <c r="E410" s="15"/>
      <c r="F410" s="14" t="str">
        <f aca="false">IF(E410="","",IFERROR(INDEX(카테고리!$B$2:$B$8,MATCH(E410,카테고리!$A$2:$A$8,0)),""))</f>
        <v/>
      </c>
      <c r="G410" s="15"/>
      <c r="H410" s="18"/>
      <c r="I410" s="15"/>
      <c r="J410" s="15"/>
    </row>
    <row r="411" customFormat="false" ht="15" hidden="false" customHeight="false" outlineLevel="0" collapsed="false">
      <c r="A411" s="14" t="str">
        <f aca="false">IF(B411="","",ROW()-1)</f>
        <v/>
      </c>
      <c r="B411" s="16"/>
      <c r="C411" s="14" t="str">
        <f aca="false">IF(B411="","",YEAR(B411))</f>
        <v/>
      </c>
      <c r="D411" s="15"/>
      <c r="E411" s="15"/>
      <c r="F411" s="14" t="str">
        <f aca="false">IF(E411="","",IFERROR(INDEX(카테고리!$B$2:$B$8,MATCH(E411,카테고리!$A$2:$A$8,0)),""))</f>
        <v/>
      </c>
      <c r="G411" s="15"/>
      <c r="H411" s="18"/>
      <c r="I411" s="15"/>
      <c r="J411" s="15"/>
    </row>
    <row r="412" customFormat="false" ht="15" hidden="false" customHeight="false" outlineLevel="0" collapsed="false">
      <c r="A412" s="14" t="str">
        <f aca="false">IF(B412="","",ROW()-1)</f>
        <v/>
      </c>
      <c r="B412" s="16"/>
      <c r="C412" s="14" t="str">
        <f aca="false">IF(B412="","",YEAR(B412))</f>
        <v/>
      </c>
      <c r="D412" s="15"/>
      <c r="E412" s="15"/>
      <c r="F412" s="14" t="str">
        <f aca="false">IF(E412="","",IFERROR(INDEX(카테고리!$B$2:$B$8,MATCH(E412,카테고리!$A$2:$A$8,0)),""))</f>
        <v/>
      </c>
      <c r="G412" s="15"/>
      <c r="H412" s="18"/>
      <c r="I412" s="15"/>
      <c r="J412" s="15"/>
    </row>
    <row r="413" customFormat="false" ht="15" hidden="false" customHeight="false" outlineLevel="0" collapsed="false">
      <c r="A413" s="14" t="str">
        <f aca="false">IF(B413="","",ROW()-1)</f>
        <v/>
      </c>
      <c r="B413" s="16"/>
      <c r="C413" s="14" t="str">
        <f aca="false">IF(B413="","",YEAR(B413))</f>
        <v/>
      </c>
      <c r="D413" s="15"/>
      <c r="E413" s="15"/>
      <c r="F413" s="14" t="str">
        <f aca="false">IF(E413="","",IFERROR(INDEX(카테고리!$B$2:$B$8,MATCH(E413,카테고리!$A$2:$A$8,0)),""))</f>
        <v/>
      </c>
      <c r="G413" s="15"/>
      <c r="H413" s="18"/>
      <c r="I413" s="15"/>
      <c r="J413" s="15"/>
    </row>
    <row r="414" customFormat="false" ht="15" hidden="false" customHeight="false" outlineLevel="0" collapsed="false">
      <c r="A414" s="14" t="str">
        <f aca="false">IF(B414="","",ROW()-1)</f>
        <v/>
      </c>
      <c r="B414" s="16"/>
      <c r="C414" s="14" t="str">
        <f aca="false">IF(B414="","",YEAR(B414))</f>
        <v/>
      </c>
      <c r="D414" s="15"/>
      <c r="E414" s="15"/>
      <c r="F414" s="14" t="str">
        <f aca="false">IF(E414="","",IFERROR(INDEX(카테고리!$B$2:$B$8,MATCH(E414,카테고리!$A$2:$A$8,0)),""))</f>
        <v/>
      </c>
      <c r="G414" s="15"/>
      <c r="H414" s="18"/>
      <c r="I414" s="15"/>
      <c r="J414" s="15"/>
    </row>
    <row r="415" customFormat="false" ht="15" hidden="false" customHeight="false" outlineLevel="0" collapsed="false">
      <c r="A415" s="14" t="str">
        <f aca="false">IF(B415="","",ROW()-1)</f>
        <v/>
      </c>
      <c r="B415" s="16"/>
      <c r="C415" s="14" t="str">
        <f aca="false">IF(B415="","",YEAR(B415))</f>
        <v/>
      </c>
      <c r="D415" s="15"/>
      <c r="E415" s="15"/>
      <c r="F415" s="14" t="str">
        <f aca="false">IF(E415="","",IFERROR(INDEX(카테고리!$B$2:$B$8,MATCH(E415,카테고리!$A$2:$A$8,0)),""))</f>
        <v/>
      </c>
      <c r="G415" s="15"/>
      <c r="H415" s="18"/>
      <c r="I415" s="15"/>
      <c r="J415" s="15"/>
    </row>
    <row r="416" customFormat="false" ht="15" hidden="false" customHeight="false" outlineLevel="0" collapsed="false">
      <c r="A416" s="14" t="str">
        <f aca="false">IF(B416="","",ROW()-1)</f>
        <v/>
      </c>
      <c r="B416" s="16"/>
      <c r="C416" s="14" t="str">
        <f aca="false">IF(B416="","",YEAR(B416))</f>
        <v/>
      </c>
      <c r="D416" s="15"/>
      <c r="E416" s="15"/>
      <c r="F416" s="14" t="str">
        <f aca="false">IF(E416="","",IFERROR(INDEX(카테고리!$B$2:$B$8,MATCH(E416,카테고리!$A$2:$A$8,0)),""))</f>
        <v/>
      </c>
      <c r="G416" s="15"/>
      <c r="H416" s="18"/>
      <c r="I416" s="15"/>
      <c r="J416" s="15"/>
    </row>
    <row r="417" customFormat="false" ht="15" hidden="false" customHeight="false" outlineLevel="0" collapsed="false">
      <c r="A417" s="14" t="str">
        <f aca="false">IF(B417="","",ROW()-1)</f>
        <v/>
      </c>
      <c r="B417" s="16"/>
      <c r="C417" s="14" t="str">
        <f aca="false">IF(B417="","",YEAR(B417))</f>
        <v/>
      </c>
      <c r="D417" s="15"/>
      <c r="E417" s="15"/>
      <c r="F417" s="14" t="str">
        <f aca="false">IF(E417="","",IFERROR(INDEX(카테고리!$B$2:$B$8,MATCH(E417,카테고리!$A$2:$A$8,0)),""))</f>
        <v/>
      </c>
      <c r="G417" s="15"/>
      <c r="H417" s="18"/>
      <c r="I417" s="15"/>
      <c r="J417" s="15"/>
    </row>
    <row r="418" customFormat="false" ht="15" hidden="false" customHeight="false" outlineLevel="0" collapsed="false">
      <c r="A418" s="14" t="str">
        <f aca="false">IF(B418="","",ROW()-1)</f>
        <v/>
      </c>
      <c r="B418" s="16"/>
      <c r="C418" s="14" t="str">
        <f aca="false">IF(B418="","",YEAR(B418))</f>
        <v/>
      </c>
      <c r="D418" s="15"/>
      <c r="E418" s="15"/>
      <c r="F418" s="14" t="str">
        <f aca="false">IF(E418="","",IFERROR(INDEX(카테고리!$B$2:$B$8,MATCH(E418,카테고리!$A$2:$A$8,0)),""))</f>
        <v/>
      </c>
      <c r="G418" s="15"/>
      <c r="H418" s="18"/>
      <c r="I418" s="15"/>
      <c r="J418" s="15"/>
    </row>
    <row r="419" customFormat="false" ht="15" hidden="false" customHeight="false" outlineLevel="0" collapsed="false">
      <c r="A419" s="14" t="str">
        <f aca="false">IF(B419="","",ROW()-1)</f>
        <v/>
      </c>
      <c r="B419" s="16"/>
      <c r="C419" s="14" t="str">
        <f aca="false">IF(B419="","",YEAR(B419))</f>
        <v/>
      </c>
      <c r="D419" s="15"/>
      <c r="E419" s="15"/>
      <c r="F419" s="14" t="str">
        <f aca="false">IF(E419="","",IFERROR(INDEX(카테고리!$B$2:$B$8,MATCH(E419,카테고리!$A$2:$A$8,0)),""))</f>
        <v/>
      </c>
      <c r="G419" s="15"/>
      <c r="H419" s="18"/>
      <c r="I419" s="15"/>
      <c r="J419" s="15"/>
    </row>
    <row r="420" customFormat="false" ht="15" hidden="false" customHeight="false" outlineLevel="0" collapsed="false">
      <c r="A420" s="14" t="str">
        <f aca="false">IF(B420="","",ROW()-1)</f>
        <v/>
      </c>
      <c r="B420" s="16"/>
      <c r="C420" s="14" t="str">
        <f aca="false">IF(B420="","",YEAR(B420))</f>
        <v/>
      </c>
      <c r="D420" s="15"/>
      <c r="E420" s="15"/>
      <c r="F420" s="14" t="str">
        <f aca="false">IF(E420="","",IFERROR(INDEX(카테고리!$B$2:$B$8,MATCH(E420,카테고리!$A$2:$A$8,0)),""))</f>
        <v/>
      </c>
      <c r="G420" s="15"/>
      <c r="H420" s="18"/>
      <c r="I420" s="15"/>
      <c r="J420" s="15"/>
    </row>
    <row r="421" customFormat="false" ht="15" hidden="false" customHeight="false" outlineLevel="0" collapsed="false">
      <c r="A421" s="14" t="str">
        <f aca="false">IF(B421="","",ROW()-1)</f>
        <v/>
      </c>
      <c r="B421" s="16"/>
      <c r="C421" s="14" t="str">
        <f aca="false">IF(B421="","",YEAR(B421))</f>
        <v/>
      </c>
      <c r="D421" s="15"/>
      <c r="E421" s="15"/>
      <c r="F421" s="14" t="str">
        <f aca="false">IF(E421="","",IFERROR(INDEX(카테고리!$B$2:$B$8,MATCH(E421,카테고리!$A$2:$A$8,0)),""))</f>
        <v/>
      </c>
      <c r="G421" s="15"/>
      <c r="H421" s="18"/>
      <c r="I421" s="15"/>
      <c r="J421" s="15"/>
    </row>
    <row r="422" customFormat="false" ht="15" hidden="false" customHeight="false" outlineLevel="0" collapsed="false">
      <c r="A422" s="14" t="str">
        <f aca="false">IF(B422="","",ROW()-1)</f>
        <v/>
      </c>
      <c r="B422" s="16"/>
      <c r="C422" s="14" t="str">
        <f aca="false">IF(B422="","",YEAR(B422))</f>
        <v/>
      </c>
      <c r="D422" s="15"/>
      <c r="E422" s="15"/>
      <c r="F422" s="14" t="str">
        <f aca="false">IF(E422="","",IFERROR(INDEX(카테고리!$B$2:$B$8,MATCH(E422,카테고리!$A$2:$A$8,0)),""))</f>
        <v/>
      </c>
      <c r="G422" s="15"/>
      <c r="H422" s="18"/>
      <c r="I422" s="15"/>
      <c r="J422" s="15"/>
    </row>
    <row r="423" customFormat="false" ht="15" hidden="false" customHeight="false" outlineLevel="0" collapsed="false">
      <c r="A423" s="14" t="str">
        <f aca="false">IF(B423="","",ROW()-1)</f>
        <v/>
      </c>
      <c r="B423" s="16"/>
      <c r="C423" s="14" t="str">
        <f aca="false">IF(B423="","",YEAR(B423))</f>
        <v/>
      </c>
      <c r="D423" s="15"/>
      <c r="E423" s="15"/>
      <c r="F423" s="14" t="str">
        <f aca="false">IF(E423="","",IFERROR(INDEX(카테고리!$B$2:$B$8,MATCH(E423,카테고리!$A$2:$A$8,0)),""))</f>
        <v/>
      </c>
      <c r="G423" s="15"/>
      <c r="H423" s="18"/>
      <c r="I423" s="15"/>
      <c r="J423" s="15"/>
    </row>
    <row r="424" customFormat="false" ht="15" hidden="false" customHeight="false" outlineLevel="0" collapsed="false">
      <c r="A424" s="14" t="str">
        <f aca="false">IF(B424="","",ROW()-1)</f>
        <v/>
      </c>
      <c r="B424" s="16"/>
      <c r="C424" s="14" t="str">
        <f aca="false">IF(B424="","",YEAR(B424))</f>
        <v/>
      </c>
      <c r="D424" s="15"/>
      <c r="E424" s="15"/>
      <c r="F424" s="14" t="str">
        <f aca="false">IF(E424="","",IFERROR(INDEX(카테고리!$B$2:$B$8,MATCH(E424,카테고리!$A$2:$A$8,0)),""))</f>
        <v/>
      </c>
      <c r="G424" s="15"/>
      <c r="H424" s="18"/>
      <c r="I424" s="15"/>
      <c r="J424" s="15"/>
    </row>
    <row r="425" customFormat="false" ht="15" hidden="false" customHeight="false" outlineLevel="0" collapsed="false">
      <c r="A425" s="14" t="str">
        <f aca="false">IF(B425="","",ROW()-1)</f>
        <v/>
      </c>
      <c r="B425" s="16"/>
      <c r="C425" s="14" t="str">
        <f aca="false">IF(B425="","",YEAR(B425))</f>
        <v/>
      </c>
      <c r="D425" s="15"/>
      <c r="E425" s="15"/>
      <c r="F425" s="14" t="str">
        <f aca="false">IF(E425="","",IFERROR(INDEX(카테고리!$B$2:$B$8,MATCH(E425,카테고리!$A$2:$A$8,0)),""))</f>
        <v/>
      </c>
      <c r="G425" s="15"/>
      <c r="H425" s="18"/>
      <c r="I425" s="15"/>
      <c r="J425" s="15"/>
    </row>
    <row r="426" customFormat="false" ht="15" hidden="false" customHeight="false" outlineLevel="0" collapsed="false">
      <c r="A426" s="14" t="str">
        <f aca="false">IF(B426="","",ROW()-1)</f>
        <v/>
      </c>
      <c r="B426" s="16"/>
      <c r="C426" s="14" t="str">
        <f aca="false">IF(B426="","",YEAR(B426))</f>
        <v/>
      </c>
      <c r="D426" s="15"/>
      <c r="E426" s="15"/>
      <c r="F426" s="14" t="str">
        <f aca="false">IF(E426="","",IFERROR(INDEX(카테고리!$B$2:$B$8,MATCH(E426,카테고리!$A$2:$A$8,0)),""))</f>
        <v/>
      </c>
      <c r="G426" s="15"/>
      <c r="H426" s="18"/>
      <c r="I426" s="15"/>
      <c r="J426" s="15"/>
    </row>
    <row r="427" customFormat="false" ht="15" hidden="false" customHeight="false" outlineLevel="0" collapsed="false">
      <c r="A427" s="14" t="str">
        <f aca="false">IF(B427="","",ROW()-1)</f>
        <v/>
      </c>
      <c r="B427" s="16"/>
      <c r="C427" s="14" t="str">
        <f aca="false">IF(B427="","",YEAR(B427))</f>
        <v/>
      </c>
      <c r="D427" s="15"/>
      <c r="E427" s="15"/>
      <c r="F427" s="14" t="str">
        <f aca="false">IF(E427="","",IFERROR(INDEX(카테고리!$B$2:$B$8,MATCH(E427,카테고리!$A$2:$A$8,0)),""))</f>
        <v/>
      </c>
      <c r="G427" s="15"/>
      <c r="H427" s="18"/>
      <c r="I427" s="15"/>
      <c r="J427" s="15"/>
    </row>
    <row r="428" customFormat="false" ht="15" hidden="false" customHeight="false" outlineLevel="0" collapsed="false">
      <c r="A428" s="14" t="str">
        <f aca="false">IF(B428="","",ROW()-1)</f>
        <v/>
      </c>
      <c r="B428" s="16"/>
      <c r="C428" s="14" t="str">
        <f aca="false">IF(B428="","",YEAR(B428))</f>
        <v/>
      </c>
      <c r="D428" s="15"/>
      <c r="E428" s="15"/>
      <c r="F428" s="14" t="str">
        <f aca="false">IF(E428="","",IFERROR(INDEX(카테고리!$B$2:$B$8,MATCH(E428,카테고리!$A$2:$A$8,0)),""))</f>
        <v/>
      </c>
      <c r="G428" s="15"/>
      <c r="H428" s="18"/>
      <c r="I428" s="15"/>
      <c r="J428" s="15"/>
    </row>
    <row r="429" customFormat="false" ht="15" hidden="false" customHeight="false" outlineLevel="0" collapsed="false">
      <c r="A429" s="14" t="str">
        <f aca="false">IF(B429="","",ROW()-1)</f>
        <v/>
      </c>
      <c r="B429" s="16"/>
      <c r="C429" s="14" t="str">
        <f aca="false">IF(B429="","",YEAR(B429))</f>
        <v/>
      </c>
      <c r="D429" s="15"/>
      <c r="E429" s="15"/>
      <c r="F429" s="14" t="str">
        <f aca="false">IF(E429="","",IFERROR(INDEX(카테고리!$B$2:$B$8,MATCH(E429,카테고리!$A$2:$A$8,0)),""))</f>
        <v/>
      </c>
      <c r="G429" s="15"/>
      <c r="H429" s="18"/>
      <c r="I429" s="15"/>
      <c r="J429" s="15"/>
    </row>
    <row r="430" customFormat="false" ht="15" hidden="false" customHeight="false" outlineLevel="0" collapsed="false">
      <c r="A430" s="14" t="str">
        <f aca="false">IF(B430="","",ROW()-1)</f>
        <v/>
      </c>
      <c r="B430" s="16"/>
      <c r="C430" s="14" t="str">
        <f aca="false">IF(B430="","",YEAR(B430))</f>
        <v/>
      </c>
      <c r="D430" s="15"/>
      <c r="E430" s="15"/>
      <c r="F430" s="14" t="str">
        <f aca="false">IF(E430="","",IFERROR(INDEX(카테고리!$B$2:$B$8,MATCH(E430,카테고리!$A$2:$A$8,0)),""))</f>
        <v/>
      </c>
      <c r="G430" s="15"/>
      <c r="H430" s="18"/>
      <c r="I430" s="15"/>
      <c r="J430" s="15"/>
    </row>
    <row r="431" customFormat="false" ht="15" hidden="false" customHeight="false" outlineLevel="0" collapsed="false">
      <c r="A431" s="14" t="str">
        <f aca="false">IF(B431="","",ROW()-1)</f>
        <v/>
      </c>
      <c r="B431" s="16"/>
      <c r="C431" s="14" t="str">
        <f aca="false">IF(B431="","",YEAR(B431))</f>
        <v/>
      </c>
      <c r="D431" s="15"/>
      <c r="E431" s="15"/>
      <c r="F431" s="14" t="str">
        <f aca="false">IF(E431="","",IFERROR(INDEX(카테고리!$B$2:$B$8,MATCH(E431,카테고리!$A$2:$A$8,0)),""))</f>
        <v/>
      </c>
      <c r="G431" s="15"/>
      <c r="H431" s="18"/>
      <c r="I431" s="15"/>
      <c r="J431" s="15"/>
    </row>
    <row r="432" customFormat="false" ht="15" hidden="false" customHeight="false" outlineLevel="0" collapsed="false">
      <c r="A432" s="14" t="str">
        <f aca="false">IF(B432="","",ROW()-1)</f>
        <v/>
      </c>
      <c r="B432" s="16"/>
      <c r="C432" s="14" t="str">
        <f aca="false">IF(B432="","",YEAR(B432))</f>
        <v/>
      </c>
      <c r="D432" s="15"/>
      <c r="E432" s="15"/>
      <c r="F432" s="14" t="str">
        <f aca="false">IF(E432="","",IFERROR(INDEX(카테고리!$B$2:$B$8,MATCH(E432,카테고리!$A$2:$A$8,0)),""))</f>
        <v/>
      </c>
      <c r="G432" s="15"/>
      <c r="H432" s="18"/>
      <c r="I432" s="15"/>
      <c r="J432" s="15"/>
    </row>
    <row r="433" customFormat="false" ht="15" hidden="false" customHeight="false" outlineLevel="0" collapsed="false">
      <c r="A433" s="14" t="str">
        <f aca="false">IF(B433="","",ROW()-1)</f>
        <v/>
      </c>
      <c r="B433" s="16"/>
      <c r="C433" s="14" t="str">
        <f aca="false">IF(B433="","",YEAR(B433))</f>
        <v/>
      </c>
      <c r="D433" s="15"/>
      <c r="E433" s="15"/>
      <c r="F433" s="14" t="str">
        <f aca="false">IF(E433="","",IFERROR(INDEX(카테고리!$B$2:$B$8,MATCH(E433,카테고리!$A$2:$A$8,0)),""))</f>
        <v/>
      </c>
      <c r="G433" s="15"/>
      <c r="H433" s="18"/>
      <c r="I433" s="15"/>
      <c r="J433" s="15"/>
    </row>
    <row r="434" customFormat="false" ht="15" hidden="false" customHeight="false" outlineLevel="0" collapsed="false">
      <c r="A434" s="14" t="str">
        <f aca="false">IF(B434="","",ROW()-1)</f>
        <v/>
      </c>
      <c r="B434" s="16"/>
      <c r="C434" s="14" t="str">
        <f aca="false">IF(B434="","",YEAR(B434))</f>
        <v/>
      </c>
      <c r="D434" s="15"/>
      <c r="E434" s="15"/>
      <c r="F434" s="14" t="str">
        <f aca="false">IF(E434="","",IFERROR(INDEX(카테고리!$B$2:$B$8,MATCH(E434,카테고리!$A$2:$A$8,0)),""))</f>
        <v/>
      </c>
      <c r="G434" s="15"/>
      <c r="H434" s="18"/>
      <c r="I434" s="15"/>
      <c r="J434" s="15"/>
    </row>
    <row r="435" customFormat="false" ht="15" hidden="false" customHeight="false" outlineLevel="0" collapsed="false">
      <c r="A435" s="14" t="str">
        <f aca="false">IF(B435="","",ROW()-1)</f>
        <v/>
      </c>
      <c r="B435" s="16"/>
      <c r="C435" s="14" t="str">
        <f aca="false">IF(B435="","",YEAR(B435))</f>
        <v/>
      </c>
      <c r="D435" s="15"/>
      <c r="E435" s="15"/>
      <c r="F435" s="14" t="str">
        <f aca="false">IF(E435="","",IFERROR(INDEX(카테고리!$B$2:$B$8,MATCH(E435,카테고리!$A$2:$A$8,0)),""))</f>
        <v/>
      </c>
      <c r="G435" s="15"/>
      <c r="H435" s="18"/>
      <c r="I435" s="15"/>
      <c r="J435" s="15"/>
    </row>
    <row r="436" customFormat="false" ht="15" hidden="false" customHeight="false" outlineLevel="0" collapsed="false">
      <c r="A436" s="14" t="str">
        <f aca="false">IF(B436="","",ROW()-1)</f>
        <v/>
      </c>
      <c r="B436" s="16"/>
      <c r="C436" s="14" t="str">
        <f aca="false">IF(B436="","",YEAR(B436))</f>
        <v/>
      </c>
      <c r="D436" s="15"/>
      <c r="E436" s="15"/>
      <c r="F436" s="14" t="str">
        <f aca="false">IF(E436="","",IFERROR(INDEX(카테고리!$B$2:$B$8,MATCH(E436,카테고리!$A$2:$A$8,0)),""))</f>
        <v/>
      </c>
      <c r="G436" s="15"/>
      <c r="H436" s="18"/>
      <c r="I436" s="15"/>
      <c r="J436" s="15"/>
    </row>
    <row r="437" customFormat="false" ht="15" hidden="false" customHeight="false" outlineLevel="0" collapsed="false">
      <c r="A437" s="14" t="str">
        <f aca="false">IF(B437="","",ROW()-1)</f>
        <v/>
      </c>
      <c r="B437" s="16"/>
      <c r="C437" s="14" t="str">
        <f aca="false">IF(B437="","",YEAR(B437))</f>
        <v/>
      </c>
      <c r="D437" s="15"/>
      <c r="E437" s="15"/>
      <c r="F437" s="14" t="str">
        <f aca="false">IF(E437="","",IFERROR(INDEX(카테고리!$B$2:$B$8,MATCH(E437,카테고리!$A$2:$A$8,0)),""))</f>
        <v/>
      </c>
      <c r="G437" s="15"/>
      <c r="H437" s="18"/>
      <c r="I437" s="15"/>
      <c r="J437" s="15"/>
    </row>
    <row r="438" customFormat="false" ht="15" hidden="false" customHeight="false" outlineLevel="0" collapsed="false">
      <c r="A438" s="14" t="str">
        <f aca="false">IF(B438="","",ROW()-1)</f>
        <v/>
      </c>
      <c r="B438" s="16"/>
      <c r="C438" s="14" t="str">
        <f aca="false">IF(B438="","",YEAR(B438))</f>
        <v/>
      </c>
      <c r="D438" s="15"/>
      <c r="E438" s="15"/>
      <c r="F438" s="14" t="str">
        <f aca="false">IF(E438="","",IFERROR(INDEX(카테고리!$B$2:$B$8,MATCH(E438,카테고리!$A$2:$A$8,0)),""))</f>
        <v/>
      </c>
      <c r="G438" s="15"/>
      <c r="H438" s="18"/>
      <c r="I438" s="15"/>
      <c r="J438" s="15"/>
    </row>
    <row r="439" customFormat="false" ht="15" hidden="false" customHeight="false" outlineLevel="0" collapsed="false">
      <c r="A439" s="14" t="str">
        <f aca="false">IF(B439="","",ROW()-1)</f>
        <v/>
      </c>
      <c r="B439" s="16"/>
      <c r="C439" s="14" t="str">
        <f aca="false">IF(B439="","",YEAR(B439))</f>
        <v/>
      </c>
      <c r="D439" s="15"/>
      <c r="E439" s="15"/>
      <c r="F439" s="14" t="str">
        <f aca="false">IF(E439="","",IFERROR(INDEX(카테고리!$B$2:$B$8,MATCH(E439,카테고리!$A$2:$A$8,0)),""))</f>
        <v/>
      </c>
      <c r="G439" s="15"/>
      <c r="H439" s="18"/>
      <c r="I439" s="15"/>
      <c r="J439" s="15"/>
    </row>
    <row r="440" customFormat="false" ht="15" hidden="false" customHeight="false" outlineLevel="0" collapsed="false">
      <c r="A440" s="14" t="str">
        <f aca="false">IF(B440="","",ROW()-1)</f>
        <v/>
      </c>
      <c r="B440" s="16"/>
      <c r="C440" s="14" t="str">
        <f aca="false">IF(B440="","",YEAR(B440))</f>
        <v/>
      </c>
      <c r="D440" s="15"/>
      <c r="E440" s="15"/>
      <c r="F440" s="14" t="str">
        <f aca="false">IF(E440="","",IFERROR(INDEX(카테고리!$B$2:$B$8,MATCH(E440,카테고리!$A$2:$A$8,0)),""))</f>
        <v/>
      </c>
      <c r="G440" s="15"/>
      <c r="H440" s="18"/>
      <c r="I440" s="15"/>
      <c r="J440" s="15"/>
    </row>
    <row r="441" customFormat="false" ht="15" hidden="false" customHeight="false" outlineLevel="0" collapsed="false">
      <c r="A441" s="14" t="str">
        <f aca="false">IF(B441="","",ROW()-1)</f>
        <v/>
      </c>
      <c r="B441" s="16"/>
      <c r="C441" s="14" t="str">
        <f aca="false">IF(B441="","",YEAR(B441))</f>
        <v/>
      </c>
      <c r="D441" s="15"/>
      <c r="E441" s="15"/>
      <c r="F441" s="14" t="str">
        <f aca="false">IF(E441="","",IFERROR(INDEX(카테고리!$B$2:$B$8,MATCH(E441,카테고리!$A$2:$A$8,0)),""))</f>
        <v/>
      </c>
      <c r="G441" s="15"/>
      <c r="H441" s="18"/>
      <c r="I441" s="15"/>
      <c r="J441" s="15"/>
    </row>
    <row r="442" customFormat="false" ht="15" hidden="false" customHeight="false" outlineLevel="0" collapsed="false">
      <c r="A442" s="14" t="str">
        <f aca="false">IF(B442="","",ROW()-1)</f>
        <v/>
      </c>
      <c r="B442" s="16"/>
      <c r="C442" s="14" t="str">
        <f aca="false">IF(B442="","",YEAR(B442))</f>
        <v/>
      </c>
      <c r="D442" s="15"/>
      <c r="E442" s="15"/>
      <c r="F442" s="14" t="str">
        <f aca="false">IF(E442="","",IFERROR(INDEX(카테고리!$B$2:$B$8,MATCH(E442,카테고리!$A$2:$A$8,0)),""))</f>
        <v/>
      </c>
      <c r="G442" s="15"/>
      <c r="H442" s="18"/>
      <c r="I442" s="15"/>
      <c r="J442" s="15"/>
    </row>
    <row r="443" customFormat="false" ht="15" hidden="false" customHeight="false" outlineLevel="0" collapsed="false">
      <c r="A443" s="14" t="str">
        <f aca="false">IF(B443="","",ROW()-1)</f>
        <v/>
      </c>
      <c r="B443" s="16"/>
      <c r="C443" s="14" t="str">
        <f aca="false">IF(B443="","",YEAR(B443))</f>
        <v/>
      </c>
      <c r="D443" s="15"/>
      <c r="E443" s="15"/>
      <c r="F443" s="14" t="str">
        <f aca="false">IF(E443="","",IFERROR(INDEX(카테고리!$B$2:$B$8,MATCH(E443,카테고리!$A$2:$A$8,0)),""))</f>
        <v/>
      </c>
      <c r="G443" s="15"/>
      <c r="H443" s="18"/>
      <c r="I443" s="15"/>
      <c r="J443" s="15"/>
    </row>
    <row r="444" customFormat="false" ht="15" hidden="false" customHeight="false" outlineLevel="0" collapsed="false">
      <c r="A444" s="14" t="str">
        <f aca="false">IF(B444="","",ROW()-1)</f>
        <v/>
      </c>
      <c r="B444" s="16"/>
      <c r="C444" s="14" t="str">
        <f aca="false">IF(B444="","",YEAR(B444))</f>
        <v/>
      </c>
      <c r="D444" s="15"/>
      <c r="E444" s="15"/>
      <c r="F444" s="14" t="str">
        <f aca="false">IF(E444="","",IFERROR(INDEX(카테고리!$B$2:$B$8,MATCH(E444,카테고리!$A$2:$A$8,0)),""))</f>
        <v/>
      </c>
      <c r="G444" s="15"/>
      <c r="H444" s="18"/>
      <c r="I444" s="15"/>
      <c r="J444" s="15"/>
    </row>
    <row r="445" customFormat="false" ht="15" hidden="false" customHeight="false" outlineLevel="0" collapsed="false">
      <c r="A445" s="14" t="str">
        <f aca="false">IF(B445="","",ROW()-1)</f>
        <v/>
      </c>
      <c r="B445" s="16"/>
      <c r="C445" s="14" t="str">
        <f aca="false">IF(B445="","",YEAR(B445))</f>
        <v/>
      </c>
      <c r="D445" s="15"/>
      <c r="E445" s="15"/>
      <c r="F445" s="14" t="str">
        <f aca="false">IF(E445="","",IFERROR(INDEX(카테고리!$B$2:$B$8,MATCH(E445,카테고리!$A$2:$A$8,0)),""))</f>
        <v/>
      </c>
      <c r="G445" s="15"/>
      <c r="H445" s="18"/>
      <c r="I445" s="15"/>
      <c r="J445" s="15"/>
    </row>
    <row r="446" customFormat="false" ht="15" hidden="false" customHeight="false" outlineLevel="0" collapsed="false">
      <c r="A446" s="14" t="str">
        <f aca="false">IF(B446="","",ROW()-1)</f>
        <v/>
      </c>
      <c r="B446" s="16"/>
      <c r="C446" s="14" t="str">
        <f aca="false">IF(B446="","",YEAR(B446))</f>
        <v/>
      </c>
      <c r="D446" s="15"/>
      <c r="E446" s="15"/>
      <c r="F446" s="14" t="str">
        <f aca="false">IF(E446="","",IFERROR(INDEX(카테고리!$B$2:$B$8,MATCH(E446,카테고리!$A$2:$A$8,0)),""))</f>
        <v/>
      </c>
      <c r="G446" s="15"/>
      <c r="H446" s="18"/>
      <c r="I446" s="15"/>
      <c r="J446" s="15"/>
    </row>
    <row r="447" customFormat="false" ht="15" hidden="false" customHeight="false" outlineLevel="0" collapsed="false">
      <c r="A447" s="14" t="str">
        <f aca="false">IF(B447="","",ROW()-1)</f>
        <v/>
      </c>
      <c r="B447" s="16"/>
      <c r="C447" s="14" t="str">
        <f aca="false">IF(B447="","",YEAR(B447))</f>
        <v/>
      </c>
      <c r="D447" s="15"/>
      <c r="E447" s="15"/>
      <c r="F447" s="14" t="str">
        <f aca="false">IF(E447="","",IFERROR(INDEX(카테고리!$B$2:$B$8,MATCH(E447,카테고리!$A$2:$A$8,0)),""))</f>
        <v/>
      </c>
      <c r="G447" s="15"/>
      <c r="H447" s="18"/>
      <c r="I447" s="15"/>
      <c r="J447" s="15"/>
    </row>
    <row r="448" customFormat="false" ht="15" hidden="false" customHeight="false" outlineLevel="0" collapsed="false">
      <c r="A448" s="14" t="str">
        <f aca="false">IF(B448="","",ROW()-1)</f>
        <v/>
      </c>
      <c r="B448" s="16"/>
      <c r="C448" s="14" t="str">
        <f aca="false">IF(B448="","",YEAR(B448))</f>
        <v/>
      </c>
      <c r="D448" s="15"/>
      <c r="E448" s="15"/>
      <c r="F448" s="14" t="str">
        <f aca="false">IF(E448="","",IFERROR(INDEX(카테고리!$B$2:$B$8,MATCH(E448,카테고리!$A$2:$A$8,0)),""))</f>
        <v/>
      </c>
      <c r="G448" s="15"/>
      <c r="H448" s="18"/>
      <c r="I448" s="15"/>
      <c r="J448" s="15"/>
    </row>
    <row r="449" customFormat="false" ht="15" hidden="false" customHeight="false" outlineLevel="0" collapsed="false">
      <c r="A449" s="14" t="str">
        <f aca="false">IF(B449="","",ROW()-1)</f>
        <v/>
      </c>
      <c r="B449" s="16"/>
      <c r="C449" s="14" t="str">
        <f aca="false">IF(B449="","",YEAR(B449))</f>
        <v/>
      </c>
      <c r="D449" s="15"/>
      <c r="E449" s="15"/>
      <c r="F449" s="14" t="str">
        <f aca="false">IF(E449="","",IFERROR(INDEX(카테고리!$B$2:$B$8,MATCH(E449,카테고리!$A$2:$A$8,0)),""))</f>
        <v/>
      </c>
      <c r="G449" s="15"/>
      <c r="H449" s="18"/>
      <c r="I449" s="15"/>
      <c r="J449" s="15"/>
    </row>
    <row r="450" customFormat="false" ht="15" hidden="false" customHeight="false" outlineLevel="0" collapsed="false">
      <c r="A450" s="14" t="str">
        <f aca="false">IF(B450="","",ROW()-1)</f>
        <v/>
      </c>
      <c r="B450" s="16"/>
      <c r="C450" s="14" t="str">
        <f aca="false">IF(B450="","",YEAR(B450))</f>
        <v/>
      </c>
      <c r="D450" s="15"/>
      <c r="E450" s="15"/>
      <c r="F450" s="14" t="str">
        <f aca="false">IF(E450="","",IFERROR(INDEX(카테고리!$B$2:$B$8,MATCH(E450,카테고리!$A$2:$A$8,0)),""))</f>
        <v/>
      </c>
      <c r="G450" s="15"/>
      <c r="H450" s="18"/>
      <c r="I450" s="15"/>
      <c r="J450" s="15"/>
    </row>
    <row r="451" customFormat="false" ht="15" hidden="false" customHeight="false" outlineLevel="0" collapsed="false">
      <c r="A451" s="14" t="str">
        <f aca="false">IF(B451="","",ROW()-1)</f>
        <v/>
      </c>
      <c r="B451" s="16"/>
      <c r="C451" s="14" t="str">
        <f aca="false">IF(B451="","",YEAR(B451))</f>
        <v/>
      </c>
      <c r="D451" s="15"/>
      <c r="E451" s="15"/>
      <c r="F451" s="14" t="str">
        <f aca="false">IF(E451="","",IFERROR(INDEX(카테고리!$B$2:$B$8,MATCH(E451,카테고리!$A$2:$A$8,0)),""))</f>
        <v/>
      </c>
      <c r="G451" s="15"/>
      <c r="H451" s="18"/>
      <c r="I451" s="15"/>
      <c r="J451" s="15"/>
    </row>
    <row r="452" customFormat="false" ht="15" hidden="false" customHeight="false" outlineLevel="0" collapsed="false">
      <c r="A452" s="14" t="str">
        <f aca="false">IF(B452="","",ROW()-1)</f>
        <v/>
      </c>
      <c r="B452" s="16"/>
      <c r="C452" s="14" t="str">
        <f aca="false">IF(B452="","",YEAR(B452))</f>
        <v/>
      </c>
      <c r="D452" s="15"/>
      <c r="E452" s="15"/>
      <c r="F452" s="14" t="str">
        <f aca="false">IF(E452="","",IFERROR(INDEX(카테고리!$B$2:$B$8,MATCH(E452,카테고리!$A$2:$A$8,0)),""))</f>
        <v/>
      </c>
      <c r="G452" s="15"/>
      <c r="H452" s="18"/>
      <c r="I452" s="15"/>
      <c r="J452" s="15"/>
    </row>
    <row r="453" customFormat="false" ht="15" hidden="false" customHeight="false" outlineLevel="0" collapsed="false">
      <c r="A453" s="14" t="str">
        <f aca="false">IF(B453="","",ROW()-1)</f>
        <v/>
      </c>
      <c r="B453" s="16"/>
      <c r="C453" s="14" t="str">
        <f aca="false">IF(B453="","",YEAR(B453))</f>
        <v/>
      </c>
      <c r="D453" s="15"/>
      <c r="E453" s="15"/>
      <c r="F453" s="14" t="str">
        <f aca="false">IF(E453="","",IFERROR(INDEX(카테고리!$B$2:$B$8,MATCH(E453,카테고리!$A$2:$A$8,0)),""))</f>
        <v/>
      </c>
      <c r="G453" s="15"/>
      <c r="H453" s="18"/>
      <c r="I453" s="15"/>
      <c r="J453" s="15"/>
    </row>
    <row r="454" customFormat="false" ht="15" hidden="false" customHeight="false" outlineLevel="0" collapsed="false">
      <c r="A454" s="14" t="str">
        <f aca="false">IF(B454="","",ROW()-1)</f>
        <v/>
      </c>
      <c r="B454" s="16"/>
      <c r="C454" s="14" t="str">
        <f aca="false">IF(B454="","",YEAR(B454))</f>
        <v/>
      </c>
      <c r="D454" s="15"/>
      <c r="E454" s="15"/>
      <c r="F454" s="14" t="str">
        <f aca="false">IF(E454="","",IFERROR(INDEX(카테고리!$B$2:$B$8,MATCH(E454,카테고리!$A$2:$A$8,0)),""))</f>
        <v/>
      </c>
      <c r="G454" s="15"/>
      <c r="H454" s="18"/>
      <c r="I454" s="15"/>
      <c r="J454" s="15"/>
    </row>
    <row r="455" customFormat="false" ht="15" hidden="false" customHeight="false" outlineLevel="0" collapsed="false">
      <c r="A455" s="14" t="str">
        <f aca="false">IF(B455="","",ROW()-1)</f>
        <v/>
      </c>
      <c r="B455" s="16"/>
      <c r="C455" s="14" t="str">
        <f aca="false">IF(B455="","",YEAR(B455))</f>
        <v/>
      </c>
      <c r="D455" s="15"/>
      <c r="E455" s="15"/>
      <c r="F455" s="14" t="str">
        <f aca="false">IF(E455="","",IFERROR(INDEX(카테고리!$B$2:$B$8,MATCH(E455,카테고리!$A$2:$A$8,0)),""))</f>
        <v/>
      </c>
      <c r="G455" s="15"/>
      <c r="H455" s="18"/>
      <c r="I455" s="15"/>
      <c r="J455" s="15"/>
    </row>
    <row r="456" customFormat="false" ht="15" hidden="false" customHeight="false" outlineLevel="0" collapsed="false">
      <c r="A456" s="14" t="str">
        <f aca="false">IF(B456="","",ROW()-1)</f>
        <v/>
      </c>
      <c r="B456" s="16"/>
      <c r="C456" s="14" t="str">
        <f aca="false">IF(B456="","",YEAR(B456))</f>
        <v/>
      </c>
      <c r="D456" s="15"/>
      <c r="E456" s="15"/>
      <c r="F456" s="14" t="str">
        <f aca="false">IF(E456="","",IFERROR(INDEX(카테고리!$B$2:$B$8,MATCH(E456,카테고리!$A$2:$A$8,0)),""))</f>
        <v/>
      </c>
      <c r="G456" s="15"/>
      <c r="H456" s="18"/>
      <c r="I456" s="15"/>
      <c r="J456" s="15"/>
    </row>
    <row r="457" customFormat="false" ht="15" hidden="false" customHeight="false" outlineLevel="0" collapsed="false">
      <c r="A457" s="14" t="str">
        <f aca="false">IF(B457="","",ROW()-1)</f>
        <v/>
      </c>
      <c r="B457" s="16"/>
      <c r="C457" s="14" t="str">
        <f aca="false">IF(B457="","",YEAR(B457))</f>
        <v/>
      </c>
      <c r="D457" s="15"/>
      <c r="E457" s="15"/>
      <c r="F457" s="14" t="str">
        <f aca="false">IF(E457="","",IFERROR(INDEX(카테고리!$B$2:$B$8,MATCH(E457,카테고리!$A$2:$A$8,0)),""))</f>
        <v/>
      </c>
      <c r="G457" s="15"/>
      <c r="H457" s="18"/>
      <c r="I457" s="15"/>
      <c r="J457" s="15"/>
    </row>
    <row r="458" customFormat="false" ht="15" hidden="false" customHeight="false" outlineLevel="0" collapsed="false">
      <c r="A458" s="14" t="str">
        <f aca="false">IF(B458="","",ROW()-1)</f>
        <v/>
      </c>
      <c r="B458" s="16"/>
      <c r="C458" s="14" t="str">
        <f aca="false">IF(B458="","",YEAR(B458))</f>
        <v/>
      </c>
      <c r="D458" s="15"/>
      <c r="E458" s="15"/>
      <c r="F458" s="14" t="str">
        <f aca="false">IF(E458="","",IFERROR(INDEX(카테고리!$B$2:$B$8,MATCH(E458,카테고리!$A$2:$A$8,0)),""))</f>
        <v/>
      </c>
      <c r="G458" s="15"/>
      <c r="H458" s="18"/>
      <c r="I458" s="15"/>
      <c r="J458" s="15"/>
    </row>
    <row r="459" customFormat="false" ht="15" hidden="false" customHeight="false" outlineLevel="0" collapsed="false">
      <c r="A459" s="14" t="str">
        <f aca="false">IF(B459="","",ROW()-1)</f>
        <v/>
      </c>
      <c r="B459" s="16"/>
      <c r="C459" s="14" t="str">
        <f aca="false">IF(B459="","",YEAR(B459))</f>
        <v/>
      </c>
      <c r="D459" s="15"/>
      <c r="E459" s="15"/>
      <c r="F459" s="14" t="str">
        <f aca="false">IF(E459="","",IFERROR(INDEX(카테고리!$B$2:$B$8,MATCH(E459,카테고리!$A$2:$A$8,0)),""))</f>
        <v/>
      </c>
      <c r="G459" s="15"/>
      <c r="H459" s="18"/>
      <c r="I459" s="15"/>
      <c r="J459" s="15"/>
    </row>
    <row r="460" customFormat="false" ht="15" hidden="false" customHeight="false" outlineLevel="0" collapsed="false">
      <c r="A460" s="14" t="str">
        <f aca="false">IF(B460="","",ROW()-1)</f>
        <v/>
      </c>
      <c r="B460" s="16"/>
      <c r="C460" s="14" t="str">
        <f aca="false">IF(B460="","",YEAR(B460))</f>
        <v/>
      </c>
      <c r="D460" s="15"/>
      <c r="E460" s="15"/>
      <c r="F460" s="14" t="str">
        <f aca="false">IF(E460="","",IFERROR(INDEX(카테고리!$B$2:$B$8,MATCH(E460,카테고리!$A$2:$A$8,0)),""))</f>
        <v/>
      </c>
      <c r="G460" s="15"/>
      <c r="H460" s="18"/>
      <c r="I460" s="15"/>
      <c r="J460" s="15"/>
    </row>
    <row r="461" customFormat="false" ht="15" hidden="false" customHeight="false" outlineLevel="0" collapsed="false">
      <c r="A461" s="14" t="str">
        <f aca="false">IF(B461="","",ROW()-1)</f>
        <v/>
      </c>
      <c r="B461" s="16"/>
      <c r="C461" s="14" t="str">
        <f aca="false">IF(B461="","",YEAR(B461))</f>
        <v/>
      </c>
      <c r="D461" s="15"/>
      <c r="E461" s="15"/>
      <c r="F461" s="14" t="str">
        <f aca="false">IF(E461="","",IFERROR(INDEX(카테고리!$B$2:$B$8,MATCH(E461,카테고리!$A$2:$A$8,0)),""))</f>
        <v/>
      </c>
      <c r="G461" s="15"/>
      <c r="H461" s="18"/>
      <c r="I461" s="15"/>
      <c r="J461" s="15"/>
    </row>
    <row r="462" customFormat="false" ht="15" hidden="false" customHeight="false" outlineLevel="0" collapsed="false">
      <c r="A462" s="14" t="str">
        <f aca="false">IF(B462="","",ROW()-1)</f>
        <v/>
      </c>
      <c r="B462" s="16"/>
      <c r="C462" s="14" t="str">
        <f aca="false">IF(B462="","",YEAR(B462))</f>
        <v/>
      </c>
      <c r="D462" s="15"/>
      <c r="E462" s="15"/>
      <c r="F462" s="14" t="str">
        <f aca="false">IF(E462="","",IFERROR(INDEX(카테고리!$B$2:$B$8,MATCH(E462,카테고리!$A$2:$A$8,0)),""))</f>
        <v/>
      </c>
      <c r="G462" s="15"/>
      <c r="H462" s="18"/>
      <c r="I462" s="15"/>
      <c r="J462" s="15"/>
    </row>
    <row r="463" customFormat="false" ht="15" hidden="false" customHeight="false" outlineLevel="0" collapsed="false">
      <c r="A463" s="14" t="str">
        <f aca="false">IF(B463="","",ROW()-1)</f>
        <v/>
      </c>
      <c r="B463" s="16"/>
      <c r="C463" s="14" t="str">
        <f aca="false">IF(B463="","",YEAR(B463))</f>
        <v/>
      </c>
      <c r="D463" s="15"/>
      <c r="E463" s="15"/>
      <c r="F463" s="14" t="str">
        <f aca="false">IF(E463="","",IFERROR(INDEX(카테고리!$B$2:$B$8,MATCH(E463,카테고리!$A$2:$A$8,0)),""))</f>
        <v/>
      </c>
      <c r="G463" s="15"/>
      <c r="H463" s="18"/>
      <c r="I463" s="15"/>
      <c r="J463" s="15"/>
    </row>
    <row r="464" customFormat="false" ht="15" hidden="false" customHeight="false" outlineLevel="0" collapsed="false">
      <c r="A464" s="14" t="str">
        <f aca="false">IF(B464="","",ROW()-1)</f>
        <v/>
      </c>
      <c r="B464" s="16"/>
      <c r="C464" s="14" t="str">
        <f aca="false">IF(B464="","",YEAR(B464))</f>
        <v/>
      </c>
      <c r="D464" s="15"/>
      <c r="E464" s="15"/>
      <c r="F464" s="14" t="str">
        <f aca="false">IF(E464="","",IFERROR(INDEX(카테고리!$B$2:$B$8,MATCH(E464,카테고리!$A$2:$A$8,0)),""))</f>
        <v/>
      </c>
      <c r="G464" s="15"/>
      <c r="H464" s="18"/>
      <c r="I464" s="15"/>
      <c r="J464" s="15"/>
    </row>
    <row r="465" customFormat="false" ht="15" hidden="false" customHeight="false" outlineLevel="0" collapsed="false">
      <c r="A465" s="14" t="str">
        <f aca="false">IF(B465="","",ROW()-1)</f>
        <v/>
      </c>
      <c r="B465" s="16"/>
      <c r="C465" s="14" t="str">
        <f aca="false">IF(B465="","",YEAR(B465))</f>
        <v/>
      </c>
      <c r="D465" s="15"/>
      <c r="E465" s="15"/>
      <c r="F465" s="14" t="str">
        <f aca="false">IF(E465="","",IFERROR(INDEX(카테고리!$B$2:$B$8,MATCH(E465,카테고리!$A$2:$A$8,0)),""))</f>
        <v/>
      </c>
      <c r="G465" s="15"/>
      <c r="H465" s="18"/>
      <c r="I465" s="15"/>
      <c r="J465" s="15"/>
    </row>
    <row r="466" customFormat="false" ht="15" hidden="false" customHeight="false" outlineLevel="0" collapsed="false">
      <c r="A466" s="14" t="str">
        <f aca="false">IF(B466="","",ROW()-1)</f>
        <v/>
      </c>
      <c r="B466" s="16"/>
      <c r="C466" s="14" t="str">
        <f aca="false">IF(B466="","",YEAR(B466))</f>
        <v/>
      </c>
      <c r="D466" s="15"/>
      <c r="E466" s="15"/>
      <c r="F466" s="14" t="str">
        <f aca="false">IF(E466="","",IFERROR(INDEX(카테고리!$B$2:$B$8,MATCH(E466,카테고리!$A$2:$A$8,0)),""))</f>
        <v/>
      </c>
      <c r="G466" s="15"/>
      <c r="H466" s="18"/>
      <c r="I466" s="15"/>
      <c r="J466" s="15"/>
    </row>
    <row r="467" customFormat="false" ht="15" hidden="false" customHeight="false" outlineLevel="0" collapsed="false">
      <c r="A467" s="14" t="str">
        <f aca="false">IF(B467="","",ROW()-1)</f>
        <v/>
      </c>
      <c r="B467" s="16"/>
      <c r="C467" s="14" t="str">
        <f aca="false">IF(B467="","",YEAR(B467))</f>
        <v/>
      </c>
      <c r="D467" s="15"/>
      <c r="E467" s="15"/>
      <c r="F467" s="14" t="str">
        <f aca="false">IF(E467="","",IFERROR(INDEX(카테고리!$B$2:$B$8,MATCH(E467,카테고리!$A$2:$A$8,0)),""))</f>
        <v/>
      </c>
      <c r="G467" s="15"/>
      <c r="H467" s="18"/>
      <c r="I467" s="15"/>
      <c r="J467" s="15"/>
    </row>
    <row r="468" customFormat="false" ht="15" hidden="false" customHeight="false" outlineLevel="0" collapsed="false">
      <c r="A468" s="14" t="str">
        <f aca="false">IF(B468="","",ROW()-1)</f>
        <v/>
      </c>
      <c r="B468" s="16"/>
      <c r="C468" s="14" t="str">
        <f aca="false">IF(B468="","",YEAR(B468))</f>
        <v/>
      </c>
      <c r="D468" s="15"/>
      <c r="E468" s="15"/>
      <c r="F468" s="14" t="str">
        <f aca="false">IF(E468="","",IFERROR(INDEX(카테고리!$B$2:$B$8,MATCH(E468,카테고리!$A$2:$A$8,0)),""))</f>
        <v/>
      </c>
      <c r="G468" s="15"/>
      <c r="H468" s="18"/>
      <c r="I468" s="15"/>
      <c r="J468" s="15"/>
    </row>
    <row r="469" customFormat="false" ht="15" hidden="false" customHeight="false" outlineLevel="0" collapsed="false">
      <c r="A469" s="14" t="str">
        <f aca="false">IF(B469="","",ROW()-1)</f>
        <v/>
      </c>
      <c r="B469" s="16"/>
      <c r="C469" s="14" t="str">
        <f aca="false">IF(B469="","",YEAR(B469))</f>
        <v/>
      </c>
      <c r="D469" s="15"/>
      <c r="E469" s="15"/>
      <c r="F469" s="14" t="str">
        <f aca="false">IF(E469="","",IFERROR(INDEX(카테고리!$B$2:$B$8,MATCH(E469,카테고리!$A$2:$A$8,0)),""))</f>
        <v/>
      </c>
      <c r="G469" s="15"/>
      <c r="H469" s="18"/>
      <c r="I469" s="15"/>
      <c r="J469" s="15"/>
    </row>
    <row r="470" customFormat="false" ht="15" hidden="false" customHeight="false" outlineLevel="0" collapsed="false">
      <c r="A470" s="14" t="str">
        <f aca="false">IF(B470="","",ROW()-1)</f>
        <v/>
      </c>
      <c r="B470" s="16"/>
      <c r="C470" s="14" t="str">
        <f aca="false">IF(B470="","",YEAR(B470))</f>
        <v/>
      </c>
      <c r="D470" s="15"/>
      <c r="E470" s="15"/>
      <c r="F470" s="14" t="str">
        <f aca="false">IF(E470="","",IFERROR(INDEX(카테고리!$B$2:$B$8,MATCH(E470,카테고리!$A$2:$A$8,0)),""))</f>
        <v/>
      </c>
      <c r="G470" s="15"/>
      <c r="H470" s="18"/>
      <c r="I470" s="15"/>
      <c r="J470" s="15"/>
    </row>
    <row r="471" customFormat="false" ht="15" hidden="false" customHeight="false" outlineLevel="0" collapsed="false">
      <c r="A471" s="14" t="str">
        <f aca="false">IF(B471="","",ROW()-1)</f>
        <v/>
      </c>
      <c r="B471" s="16"/>
      <c r="C471" s="14" t="str">
        <f aca="false">IF(B471="","",YEAR(B471))</f>
        <v/>
      </c>
      <c r="D471" s="15"/>
      <c r="E471" s="15"/>
      <c r="F471" s="14" t="str">
        <f aca="false">IF(E471="","",IFERROR(INDEX(카테고리!$B$2:$B$8,MATCH(E471,카테고리!$A$2:$A$8,0)),""))</f>
        <v/>
      </c>
      <c r="G471" s="15"/>
      <c r="H471" s="18"/>
      <c r="I471" s="15"/>
      <c r="J471" s="15"/>
    </row>
    <row r="472" customFormat="false" ht="15" hidden="false" customHeight="false" outlineLevel="0" collapsed="false">
      <c r="A472" s="14" t="str">
        <f aca="false">IF(B472="","",ROW()-1)</f>
        <v/>
      </c>
      <c r="B472" s="16"/>
      <c r="C472" s="14" t="str">
        <f aca="false">IF(B472="","",YEAR(B472))</f>
        <v/>
      </c>
      <c r="D472" s="15"/>
      <c r="E472" s="15"/>
      <c r="F472" s="14" t="str">
        <f aca="false">IF(E472="","",IFERROR(INDEX(카테고리!$B$2:$B$8,MATCH(E472,카테고리!$A$2:$A$8,0)),""))</f>
        <v/>
      </c>
      <c r="G472" s="15"/>
      <c r="H472" s="18"/>
      <c r="I472" s="15"/>
      <c r="J472" s="15"/>
    </row>
    <row r="473" customFormat="false" ht="15" hidden="false" customHeight="false" outlineLevel="0" collapsed="false">
      <c r="A473" s="14" t="str">
        <f aca="false">IF(B473="","",ROW()-1)</f>
        <v/>
      </c>
      <c r="B473" s="16"/>
      <c r="C473" s="14" t="str">
        <f aca="false">IF(B473="","",YEAR(B473))</f>
        <v/>
      </c>
      <c r="D473" s="15"/>
      <c r="E473" s="15"/>
      <c r="F473" s="14" t="str">
        <f aca="false">IF(E473="","",IFERROR(INDEX(카테고리!$B$2:$B$8,MATCH(E473,카테고리!$A$2:$A$8,0)),""))</f>
        <v/>
      </c>
      <c r="G473" s="15"/>
      <c r="H473" s="18"/>
      <c r="I473" s="15"/>
      <c r="J473" s="15"/>
    </row>
    <row r="474" customFormat="false" ht="15" hidden="false" customHeight="false" outlineLevel="0" collapsed="false">
      <c r="A474" s="14" t="str">
        <f aca="false">IF(B474="","",ROW()-1)</f>
        <v/>
      </c>
      <c r="B474" s="16"/>
      <c r="C474" s="14" t="str">
        <f aca="false">IF(B474="","",YEAR(B474))</f>
        <v/>
      </c>
      <c r="D474" s="15"/>
      <c r="E474" s="15"/>
      <c r="F474" s="14" t="str">
        <f aca="false">IF(E474="","",IFERROR(INDEX(카테고리!$B$2:$B$8,MATCH(E474,카테고리!$A$2:$A$8,0)),""))</f>
        <v/>
      </c>
      <c r="G474" s="15"/>
      <c r="H474" s="18"/>
      <c r="I474" s="15"/>
      <c r="J474" s="15"/>
    </row>
    <row r="475" customFormat="false" ht="15" hidden="false" customHeight="false" outlineLevel="0" collapsed="false">
      <c r="A475" s="14" t="str">
        <f aca="false">IF(B475="","",ROW()-1)</f>
        <v/>
      </c>
      <c r="B475" s="16"/>
      <c r="C475" s="14" t="str">
        <f aca="false">IF(B475="","",YEAR(B475))</f>
        <v/>
      </c>
      <c r="D475" s="15"/>
      <c r="E475" s="15"/>
      <c r="F475" s="14" t="str">
        <f aca="false">IF(E475="","",IFERROR(INDEX(카테고리!$B$2:$B$8,MATCH(E475,카테고리!$A$2:$A$8,0)),""))</f>
        <v/>
      </c>
      <c r="G475" s="15"/>
      <c r="H475" s="18"/>
      <c r="I475" s="15"/>
      <c r="J475" s="15"/>
    </row>
    <row r="476" customFormat="false" ht="15" hidden="false" customHeight="false" outlineLevel="0" collapsed="false">
      <c r="A476" s="14" t="str">
        <f aca="false">IF(B476="","",ROW()-1)</f>
        <v/>
      </c>
      <c r="B476" s="16"/>
      <c r="C476" s="14" t="str">
        <f aca="false">IF(B476="","",YEAR(B476))</f>
        <v/>
      </c>
      <c r="D476" s="15"/>
      <c r="E476" s="15"/>
      <c r="F476" s="14" t="str">
        <f aca="false">IF(E476="","",IFERROR(INDEX(카테고리!$B$2:$B$8,MATCH(E476,카테고리!$A$2:$A$8,0)),""))</f>
        <v/>
      </c>
      <c r="G476" s="15"/>
      <c r="H476" s="18"/>
      <c r="I476" s="15"/>
      <c r="J476" s="15"/>
    </row>
    <row r="477" customFormat="false" ht="15" hidden="false" customHeight="false" outlineLevel="0" collapsed="false">
      <c r="A477" s="14" t="str">
        <f aca="false">IF(B477="","",ROW()-1)</f>
        <v/>
      </c>
      <c r="B477" s="16"/>
      <c r="C477" s="14" t="str">
        <f aca="false">IF(B477="","",YEAR(B477))</f>
        <v/>
      </c>
      <c r="D477" s="15"/>
      <c r="E477" s="15"/>
      <c r="F477" s="14" t="str">
        <f aca="false">IF(E477="","",IFERROR(INDEX(카테고리!$B$2:$B$8,MATCH(E477,카테고리!$A$2:$A$8,0)),""))</f>
        <v/>
      </c>
      <c r="G477" s="15"/>
      <c r="H477" s="18"/>
      <c r="I477" s="15"/>
      <c r="J477" s="15"/>
    </row>
    <row r="478" customFormat="false" ht="15" hidden="false" customHeight="false" outlineLevel="0" collapsed="false">
      <c r="A478" s="14" t="str">
        <f aca="false">IF(B478="","",ROW()-1)</f>
        <v/>
      </c>
      <c r="B478" s="16"/>
      <c r="C478" s="14" t="str">
        <f aca="false">IF(B478="","",YEAR(B478))</f>
        <v/>
      </c>
      <c r="D478" s="15"/>
      <c r="E478" s="15"/>
      <c r="F478" s="14" t="str">
        <f aca="false">IF(E478="","",IFERROR(INDEX(카테고리!$B$2:$B$8,MATCH(E478,카테고리!$A$2:$A$8,0)),""))</f>
        <v/>
      </c>
      <c r="G478" s="15"/>
      <c r="H478" s="18"/>
      <c r="I478" s="15"/>
      <c r="J478" s="15"/>
    </row>
    <row r="479" customFormat="false" ht="15" hidden="false" customHeight="false" outlineLevel="0" collapsed="false">
      <c r="A479" s="14" t="str">
        <f aca="false">IF(B479="","",ROW()-1)</f>
        <v/>
      </c>
      <c r="B479" s="16"/>
      <c r="C479" s="14" t="str">
        <f aca="false">IF(B479="","",YEAR(B479))</f>
        <v/>
      </c>
      <c r="D479" s="15"/>
      <c r="E479" s="15"/>
      <c r="F479" s="14" t="str">
        <f aca="false">IF(E479="","",IFERROR(INDEX(카테고리!$B$2:$B$8,MATCH(E479,카테고리!$A$2:$A$8,0)),""))</f>
        <v/>
      </c>
      <c r="G479" s="15"/>
      <c r="H479" s="18"/>
      <c r="I479" s="15"/>
      <c r="J479" s="15"/>
    </row>
    <row r="480" customFormat="false" ht="15" hidden="false" customHeight="false" outlineLevel="0" collapsed="false">
      <c r="A480" s="14" t="str">
        <f aca="false">IF(B480="","",ROW()-1)</f>
        <v/>
      </c>
      <c r="B480" s="16"/>
      <c r="C480" s="14" t="str">
        <f aca="false">IF(B480="","",YEAR(B480))</f>
        <v/>
      </c>
      <c r="D480" s="15"/>
      <c r="E480" s="15"/>
      <c r="F480" s="14" t="str">
        <f aca="false">IF(E480="","",IFERROR(INDEX(카테고리!$B$2:$B$8,MATCH(E480,카테고리!$A$2:$A$8,0)),""))</f>
        <v/>
      </c>
      <c r="G480" s="15"/>
      <c r="H480" s="18"/>
      <c r="I480" s="15"/>
      <c r="J480" s="15"/>
    </row>
    <row r="481" customFormat="false" ht="15" hidden="false" customHeight="false" outlineLevel="0" collapsed="false">
      <c r="A481" s="14" t="str">
        <f aca="false">IF(B481="","",ROW()-1)</f>
        <v/>
      </c>
      <c r="B481" s="16"/>
      <c r="C481" s="14" t="str">
        <f aca="false">IF(B481="","",YEAR(B481))</f>
        <v/>
      </c>
      <c r="D481" s="15"/>
      <c r="E481" s="15"/>
      <c r="F481" s="14" t="str">
        <f aca="false">IF(E481="","",IFERROR(INDEX(카테고리!$B$2:$B$8,MATCH(E481,카테고리!$A$2:$A$8,0)),""))</f>
        <v/>
      </c>
      <c r="G481" s="15"/>
      <c r="H481" s="18"/>
      <c r="I481" s="15"/>
      <c r="J481" s="15"/>
    </row>
    <row r="482" customFormat="false" ht="15" hidden="false" customHeight="false" outlineLevel="0" collapsed="false">
      <c r="A482" s="14" t="str">
        <f aca="false">IF(B482="","",ROW()-1)</f>
        <v/>
      </c>
      <c r="B482" s="16"/>
      <c r="C482" s="14" t="str">
        <f aca="false">IF(B482="","",YEAR(B482))</f>
        <v/>
      </c>
      <c r="D482" s="15"/>
      <c r="E482" s="15"/>
      <c r="F482" s="14" t="str">
        <f aca="false">IF(E482="","",IFERROR(INDEX(카테고리!$B$2:$B$8,MATCH(E482,카테고리!$A$2:$A$8,0)),""))</f>
        <v/>
      </c>
      <c r="G482" s="15"/>
      <c r="H482" s="18"/>
      <c r="I482" s="15"/>
      <c r="J482" s="15"/>
    </row>
    <row r="483" customFormat="false" ht="15" hidden="false" customHeight="false" outlineLevel="0" collapsed="false">
      <c r="A483" s="14" t="str">
        <f aca="false">IF(B483="","",ROW()-1)</f>
        <v/>
      </c>
      <c r="B483" s="16"/>
      <c r="C483" s="14" t="str">
        <f aca="false">IF(B483="","",YEAR(B483))</f>
        <v/>
      </c>
      <c r="D483" s="15"/>
      <c r="E483" s="15"/>
      <c r="F483" s="14" t="str">
        <f aca="false">IF(E483="","",IFERROR(INDEX(카테고리!$B$2:$B$8,MATCH(E483,카테고리!$A$2:$A$8,0)),""))</f>
        <v/>
      </c>
      <c r="G483" s="15"/>
      <c r="H483" s="18"/>
      <c r="I483" s="15"/>
      <c r="J483" s="15"/>
    </row>
    <row r="484" customFormat="false" ht="15" hidden="false" customHeight="false" outlineLevel="0" collapsed="false">
      <c r="A484" s="14" t="str">
        <f aca="false">IF(B484="","",ROW()-1)</f>
        <v/>
      </c>
      <c r="B484" s="16"/>
      <c r="C484" s="14" t="str">
        <f aca="false">IF(B484="","",YEAR(B484))</f>
        <v/>
      </c>
      <c r="D484" s="15"/>
      <c r="E484" s="15"/>
      <c r="F484" s="14" t="str">
        <f aca="false">IF(E484="","",IFERROR(INDEX(카테고리!$B$2:$B$8,MATCH(E484,카테고리!$A$2:$A$8,0)),""))</f>
        <v/>
      </c>
      <c r="G484" s="15"/>
      <c r="H484" s="18"/>
      <c r="I484" s="15"/>
      <c r="J484" s="15"/>
    </row>
    <row r="485" customFormat="false" ht="15" hidden="false" customHeight="false" outlineLevel="0" collapsed="false">
      <c r="A485" s="14" t="str">
        <f aca="false">IF(B485="","",ROW()-1)</f>
        <v/>
      </c>
      <c r="B485" s="16"/>
      <c r="C485" s="14" t="str">
        <f aca="false">IF(B485="","",YEAR(B485))</f>
        <v/>
      </c>
      <c r="D485" s="15"/>
      <c r="E485" s="15"/>
      <c r="F485" s="14" t="str">
        <f aca="false">IF(E485="","",IFERROR(INDEX(카테고리!$B$2:$B$8,MATCH(E485,카테고리!$A$2:$A$8,0)),""))</f>
        <v/>
      </c>
      <c r="G485" s="15"/>
      <c r="H485" s="18"/>
      <c r="I485" s="15"/>
      <c r="J485" s="15"/>
    </row>
    <row r="486" customFormat="false" ht="15" hidden="false" customHeight="false" outlineLevel="0" collapsed="false">
      <c r="A486" s="14" t="str">
        <f aca="false">IF(B486="","",ROW()-1)</f>
        <v/>
      </c>
      <c r="B486" s="16"/>
      <c r="C486" s="14" t="str">
        <f aca="false">IF(B486="","",YEAR(B486))</f>
        <v/>
      </c>
      <c r="D486" s="15"/>
      <c r="E486" s="15"/>
      <c r="F486" s="14" t="str">
        <f aca="false">IF(E486="","",IFERROR(INDEX(카테고리!$B$2:$B$8,MATCH(E486,카테고리!$A$2:$A$8,0)),""))</f>
        <v/>
      </c>
      <c r="G486" s="15"/>
      <c r="H486" s="18"/>
      <c r="I486" s="15"/>
      <c r="J486" s="15"/>
    </row>
    <row r="487" customFormat="false" ht="15" hidden="false" customHeight="false" outlineLevel="0" collapsed="false">
      <c r="A487" s="14" t="str">
        <f aca="false">IF(B487="","",ROW()-1)</f>
        <v/>
      </c>
      <c r="B487" s="16"/>
      <c r="C487" s="14" t="str">
        <f aca="false">IF(B487="","",YEAR(B487))</f>
        <v/>
      </c>
      <c r="D487" s="15"/>
      <c r="E487" s="15"/>
      <c r="F487" s="14" t="str">
        <f aca="false">IF(E487="","",IFERROR(INDEX(카테고리!$B$2:$B$8,MATCH(E487,카테고리!$A$2:$A$8,0)),""))</f>
        <v/>
      </c>
      <c r="G487" s="15"/>
      <c r="H487" s="18"/>
      <c r="I487" s="15"/>
      <c r="J487" s="15"/>
    </row>
    <row r="488" customFormat="false" ht="15" hidden="false" customHeight="false" outlineLevel="0" collapsed="false">
      <c r="A488" s="14" t="str">
        <f aca="false">IF(B488="","",ROW()-1)</f>
        <v/>
      </c>
      <c r="B488" s="16"/>
      <c r="C488" s="14" t="str">
        <f aca="false">IF(B488="","",YEAR(B488))</f>
        <v/>
      </c>
      <c r="D488" s="15"/>
      <c r="E488" s="15"/>
      <c r="F488" s="14" t="str">
        <f aca="false">IF(E488="","",IFERROR(INDEX(카테고리!$B$2:$B$8,MATCH(E488,카테고리!$A$2:$A$8,0)),""))</f>
        <v/>
      </c>
      <c r="G488" s="15"/>
      <c r="H488" s="18"/>
      <c r="I488" s="15"/>
      <c r="J488" s="15"/>
    </row>
    <row r="489" customFormat="false" ht="15" hidden="false" customHeight="false" outlineLevel="0" collapsed="false">
      <c r="A489" s="14" t="str">
        <f aca="false">IF(B489="","",ROW()-1)</f>
        <v/>
      </c>
      <c r="B489" s="16"/>
      <c r="C489" s="14" t="str">
        <f aca="false">IF(B489="","",YEAR(B489))</f>
        <v/>
      </c>
      <c r="D489" s="15"/>
      <c r="E489" s="15"/>
      <c r="F489" s="14" t="str">
        <f aca="false">IF(E489="","",IFERROR(INDEX(카테고리!$B$2:$B$8,MATCH(E489,카테고리!$A$2:$A$8,0)),""))</f>
        <v/>
      </c>
      <c r="G489" s="15"/>
      <c r="H489" s="18"/>
      <c r="I489" s="15"/>
      <c r="J489" s="15"/>
    </row>
    <row r="490" customFormat="false" ht="15" hidden="false" customHeight="false" outlineLevel="0" collapsed="false">
      <c r="A490" s="14" t="str">
        <f aca="false">IF(B490="","",ROW()-1)</f>
        <v/>
      </c>
      <c r="B490" s="16"/>
      <c r="C490" s="14" t="str">
        <f aca="false">IF(B490="","",YEAR(B490))</f>
        <v/>
      </c>
      <c r="D490" s="15"/>
      <c r="E490" s="15"/>
      <c r="F490" s="14" t="str">
        <f aca="false">IF(E490="","",IFERROR(INDEX(카테고리!$B$2:$B$8,MATCH(E490,카테고리!$A$2:$A$8,0)),""))</f>
        <v/>
      </c>
      <c r="G490" s="15"/>
      <c r="H490" s="18"/>
      <c r="I490" s="15"/>
      <c r="J490" s="15"/>
    </row>
    <row r="491" customFormat="false" ht="15" hidden="false" customHeight="false" outlineLevel="0" collapsed="false">
      <c r="A491" s="14" t="str">
        <f aca="false">IF(B491="","",ROW()-1)</f>
        <v/>
      </c>
      <c r="B491" s="16"/>
      <c r="C491" s="14" t="str">
        <f aca="false">IF(B491="","",YEAR(B491))</f>
        <v/>
      </c>
      <c r="D491" s="15"/>
      <c r="E491" s="15"/>
      <c r="F491" s="14" t="str">
        <f aca="false">IF(E491="","",IFERROR(INDEX(카테고리!$B$2:$B$8,MATCH(E491,카테고리!$A$2:$A$8,0)),""))</f>
        <v/>
      </c>
      <c r="G491" s="15"/>
      <c r="H491" s="18"/>
      <c r="I491" s="15"/>
      <c r="J491" s="15"/>
    </row>
    <row r="492" customFormat="false" ht="15" hidden="false" customHeight="false" outlineLevel="0" collapsed="false">
      <c r="A492" s="14" t="str">
        <f aca="false">IF(B492="","",ROW()-1)</f>
        <v/>
      </c>
      <c r="B492" s="16"/>
      <c r="C492" s="14" t="str">
        <f aca="false">IF(B492="","",YEAR(B492))</f>
        <v/>
      </c>
      <c r="D492" s="15"/>
      <c r="E492" s="15"/>
      <c r="F492" s="14" t="str">
        <f aca="false">IF(E492="","",IFERROR(INDEX(카테고리!$B$2:$B$8,MATCH(E492,카테고리!$A$2:$A$8,0)),""))</f>
        <v/>
      </c>
      <c r="G492" s="15"/>
      <c r="H492" s="18"/>
      <c r="I492" s="15"/>
      <c r="J492" s="15"/>
    </row>
    <row r="493" customFormat="false" ht="15" hidden="false" customHeight="false" outlineLevel="0" collapsed="false">
      <c r="A493" s="14" t="str">
        <f aca="false">IF(B493="","",ROW()-1)</f>
        <v/>
      </c>
      <c r="B493" s="16"/>
      <c r="C493" s="14" t="str">
        <f aca="false">IF(B493="","",YEAR(B493))</f>
        <v/>
      </c>
      <c r="D493" s="15"/>
      <c r="E493" s="15"/>
      <c r="F493" s="14" t="str">
        <f aca="false">IF(E493="","",IFERROR(INDEX(카테고리!$B$2:$B$8,MATCH(E493,카테고리!$A$2:$A$8,0)),""))</f>
        <v/>
      </c>
      <c r="G493" s="15"/>
      <c r="H493" s="18"/>
      <c r="I493" s="15"/>
      <c r="J493" s="15"/>
    </row>
    <row r="494" customFormat="false" ht="15" hidden="false" customHeight="false" outlineLevel="0" collapsed="false">
      <c r="A494" s="14" t="str">
        <f aca="false">IF(B494="","",ROW()-1)</f>
        <v/>
      </c>
      <c r="B494" s="16"/>
      <c r="C494" s="14" t="str">
        <f aca="false">IF(B494="","",YEAR(B494))</f>
        <v/>
      </c>
      <c r="D494" s="15"/>
      <c r="E494" s="15"/>
      <c r="F494" s="14" t="str">
        <f aca="false">IF(E494="","",IFERROR(INDEX(카테고리!$B$2:$B$8,MATCH(E494,카테고리!$A$2:$A$8,0)),""))</f>
        <v/>
      </c>
      <c r="G494" s="15"/>
      <c r="H494" s="18"/>
      <c r="I494" s="15"/>
      <c r="J494" s="15"/>
    </row>
    <row r="495" customFormat="false" ht="15" hidden="false" customHeight="false" outlineLevel="0" collapsed="false">
      <c r="A495" s="14" t="str">
        <f aca="false">IF(B495="","",ROW()-1)</f>
        <v/>
      </c>
      <c r="B495" s="16"/>
      <c r="C495" s="14" t="str">
        <f aca="false">IF(B495="","",YEAR(B495))</f>
        <v/>
      </c>
      <c r="D495" s="15"/>
      <c r="E495" s="15"/>
      <c r="F495" s="14" t="str">
        <f aca="false">IF(E495="","",IFERROR(INDEX(카테고리!$B$2:$B$8,MATCH(E495,카테고리!$A$2:$A$8,0)),""))</f>
        <v/>
      </c>
      <c r="G495" s="15"/>
      <c r="H495" s="18"/>
      <c r="I495" s="15"/>
      <c r="J495" s="15"/>
    </row>
    <row r="496" customFormat="false" ht="15" hidden="false" customHeight="false" outlineLevel="0" collapsed="false">
      <c r="A496" s="14" t="str">
        <f aca="false">IF(B496="","",ROW()-1)</f>
        <v/>
      </c>
      <c r="B496" s="16"/>
      <c r="C496" s="14" t="str">
        <f aca="false">IF(B496="","",YEAR(B496))</f>
        <v/>
      </c>
      <c r="D496" s="15"/>
      <c r="E496" s="15"/>
      <c r="F496" s="14" t="str">
        <f aca="false">IF(E496="","",IFERROR(INDEX(카테고리!$B$2:$B$8,MATCH(E496,카테고리!$A$2:$A$8,0)),""))</f>
        <v/>
      </c>
      <c r="G496" s="15"/>
      <c r="H496" s="18"/>
      <c r="I496" s="15"/>
      <c r="J496" s="15"/>
    </row>
    <row r="497" customFormat="false" ht="15" hidden="false" customHeight="false" outlineLevel="0" collapsed="false">
      <c r="A497" s="14" t="str">
        <f aca="false">IF(B497="","",ROW()-1)</f>
        <v/>
      </c>
      <c r="B497" s="16"/>
      <c r="C497" s="14" t="str">
        <f aca="false">IF(B497="","",YEAR(B497))</f>
        <v/>
      </c>
      <c r="D497" s="15"/>
      <c r="E497" s="15"/>
      <c r="F497" s="14" t="str">
        <f aca="false">IF(E497="","",IFERROR(INDEX(카테고리!$B$2:$B$8,MATCH(E497,카테고리!$A$2:$A$8,0)),""))</f>
        <v/>
      </c>
      <c r="G497" s="15"/>
      <c r="H497" s="18"/>
      <c r="I497" s="15"/>
      <c r="J497" s="15"/>
    </row>
    <row r="498" customFormat="false" ht="15" hidden="false" customHeight="false" outlineLevel="0" collapsed="false">
      <c r="A498" s="14" t="str">
        <f aca="false">IF(B498="","",ROW()-1)</f>
        <v/>
      </c>
      <c r="B498" s="16"/>
      <c r="C498" s="14" t="str">
        <f aca="false">IF(B498="","",YEAR(B498))</f>
        <v/>
      </c>
      <c r="D498" s="15"/>
      <c r="E498" s="15"/>
      <c r="F498" s="14" t="str">
        <f aca="false">IF(E498="","",IFERROR(INDEX(카테고리!$B$2:$B$8,MATCH(E498,카테고리!$A$2:$A$8,0)),""))</f>
        <v/>
      </c>
      <c r="G498" s="15"/>
      <c r="H498" s="18"/>
      <c r="I498" s="15"/>
      <c r="J498" s="15"/>
    </row>
    <row r="499" customFormat="false" ht="15" hidden="false" customHeight="false" outlineLevel="0" collapsed="false">
      <c r="A499" s="14" t="str">
        <f aca="false">IF(B499="","",ROW()-1)</f>
        <v/>
      </c>
      <c r="B499" s="16"/>
      <c r="C499" s="14" t="str">
        <f aca="false">IF(B499="","",YEAR(B499))</f>
        <v/>
      </c>
      <c r="D499" s="15"/>
      <c r="E499" s="15"/>
      <c r="F499" s="14" t="str">
        <f aca="false">IF(E499="","",IFERROR(INDEX(카테고리!$B$2:$B$8,MATCH(E499,카테고리!$A$2:$A$8,0)),""))</f>
        <v/>
      </c>
      <c r="G499" s="15"/>
      <c r="H499" s="18"/>
      <c r="I499" s="15"/>
      <c r="J499" s="15"/>
    </row>
    <row r="500" customFormat="false" ht="15" hidden="false" customHeight="false" outlineLevel="0" collapsed="false">
      <c r="A500" s="14" t="str">
        <f aca="false">IF(B500="","",ROW()-1)</f>
        <v/>
      </c>
      <c r="B500" s="16"/>
      <c r="C500" s="14" t="str">
        <f aca="false">IF(B500="","",YEAR(B500))</f>
        <v/>
      </c>
      <c r="D500" s="15"/>
      <c r="E500" s="15"/>
      <c r="F500" s="14" t="str">
        <f aca="false">IF(E500="","",IFERROR(INDEX(카테고리!$B$2:$B$8,MATCH(E500,카테고리!$A$2:$A$8,0)),""))</f>
        <v/>
      </c>
      <c r="G500" s="15"/>
      <c r="H500" s="18"/>
      <c r="I500" s="15"/>
      <c r="J500" s="15"/>
    </row>
  </sheetData>
  <dataValidations count="3">
    <dataValidation allowBlank="true" errorStyle="stop" operator="between" showDropDown="false" showErrorMessage="false" showInputMessage="false" sqref="D2:D500" type="list">
      <formula1>프로젝트목록!$B$2:$B$201</formula1>
      <formula2>0</formula2>
    </dataValidation>
    <dataValidation allowBlank="true" errorStyle="stop" operator="between" showDropDown="false" showErrorMessage="false" showInputMessage="false" sqref="E2:E500" type="list">
      <formula1>카테고리!$A$2:$A$8</formula1>
      <formula2>0</formula2>
    </dataValidation>
    <dataValidation allowBlank="true" errorStyle="stop" operator="between" showDropDown="false" showErrorMessage="false" showInputMessage="false" sqref="I2:I500" type="list">
      <formula1>카테고리!$F$2:$F$3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3"/>
    <col collapsed="false" customWidth="true" hidden="false" outlineLevel="0" max="4" min="4" style="0" width="12"/>
    <col collapsed="false" customWidth="true" hidden="false" outlineLevel="0" max="5" min="5" style="0" width="3"/>
    <col collapsed="false" customWidth="true" hidden="false" outlineLevel="0" max="6" min="6" style="0" width="10"/>
    <col collapsed="false" customWidth="true" hidden="false" outlineLevel="0" max="7" min="7" style="0" width="3"/>
    <col collapsed="false" customWidth="true" hidden="false" outlineLevel="0" max="8" min="8" style="0" width="60"/>
  </cols>
  <sheetData>
    <row r="1" customFormat="false" ht="15" hidden="false" customHeight="false" outlineLevel="0" collapsed="false">
      <c r="A1" s="9" t="s">
        <v>53</v>
      </c>
      <c r="B1" s="9" t="s">
        <v>44</v>
      </c>
      <c r="D1" s="9" t="s">
        <v>54</v>
      </c>
      <c r="F1" s="9" t="s">
        <v>55</v>
      </c>
      <c r="H1" s="19" t="s">
        <v>56</v>
      </c>
    </row>
    <row r="2" customFormat="false" ht="15" hidden="false" customHeight="false" outlineLevel="0" collapsed="false">
      <c r="A2" s="20" t="s">
        <v>48</v>
      </c>
      <c r="B2" s="20" t="s">
        <v>57</v>
      </c>
      <c r="D2" s="20" t="s">
        <v>58</v>
      </c>
      <c r="F2" s="15" t="s">
        <v>50</v>
      </c>
    </row>
    <row r="3" customFormat="false" ht="15" hidden="false" customHeight="false" outlineLevel="0" collapsed="false">
      <c r="A3" s="20" t="s">
        <v>59</v>
      </c>
      <c r="B3" s="20" t="s">
        <v>57</v>
      </c>
      <c r="D3" s="20" t="s">
        <v>36</v>
      </c>
      <c r="F3" s="15" t="s">
        <v>60</v>
      </c>
    </row>
    <row r="4" customFormat="false" ht="15" hidden="false" customHeight="false" outlineLevel="0" collapsed="false">
      <c r="A4" s="20" t="s">
        <v>61</v>
      </c>
      <c r="B4" s="20" t="s">
        <v>62</v>
      </c>
      <c r="D4" s="20" t="s">
        <v>63</v>
      </c>
    </row>
    <row r="5" customFormat="false" ht="15" hidden="false" customHeight="false" outlineLevel="0" collapsed="false">
      <c r="A5" s="20" t="s">
        <v>64</v>
      </c>
      <c r="B5" s="20" t="s">
        <v>62</v>
      </c>
    </row>
    <row r="6" customFormat="false" ht="15" hidden="false" customHeight="false" outlineLevel="0" collapsed="false">
      <c r="A6" s="20" t="s">
        <v>65</v>
      </c>
      <c r="B6" s="20" t="s">
        <v>62</v>
      </c>
    </row>
    <row r="7" customFormat="false" ht="15" hidden="false" customHeight="false" outlineLevel="0" collapsed="false">
      <c r="A7" s="20" t="s">
        <v>51</v>
      </c>
      <c r="B7" s="20" t="s">
        <v>62</v>
      </c>
    </row>
    <row r="8" customFormat="false" ht="15" hidden="false" customHeight="false" outlineLevel="0" collapsed="false">
      <c r="A8" s="20" t="s">
        <v>66</v>
      </c>
      <c r="B8" s="2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22" min="4" style="0" width="12"/>
  </cols>
  <sheetData>
    <row r="1" customFormat="false" ht="20.1" hidden="false" customHeight="false" outlineLevel="0" collapsed="false">
      <c r="B1" s="21" t="s">
        <v>67</v>
      </c>
    </row>
    <row r="2" customFormat="false" ht="15" hidden="false" customHeight="true" outlineLevel="0" collapsed="false">
      <c r="B2" s="22"/>
      <c r="C2" s="22"/>
      <c r="D2" s="23" t="s">
        <v>68</v>
      </c>
      <c r="E2" s="23"/>
      <c r="F2" s="23"/>
      <c r="G2" s="23" t="s">
        <v>69</v>
      </c>
      <c r="H2" s="23"/>
      <c r="I2" s="23"/>
      <c r="J2" s="23" t="s">
        <v>70</v>
      </c>
      <c r="K2" s="23"/>
      <c r="L2" s="23"/>
      <c r="M2" s="23" t="s">
        <v>71</v>
      </c>
      <c r="N2" s="23"/>
      <c r="O2" s="23"/>
      <c r="P2" s="23" t="s">
        <v>72</v>
      </c>
      <c r="Q2" s="23"/>
      <c r="R2" s="23"/>
      <c r="S2" s="24" t="s">
        <v>73</v>
      </c>
      <c r="T2" s="24"/>
      <c r="U2" s="24"/>
      <c r="V2" s="24"/>
    </row>
    <row r="3" customFormat="false" ht="15" hidden="false" customHeight="false" outlineLevel="0" collapsed="false">
      <c r="B3" s="22"/>
      <c r="C3" s="22"/>
      <c r="D3" s="25" t="s">
        <v>48</v>
      </c>
      <c r="E3" s="25" t="s">
        <v>62</v>
      </c>
      <c r="F3" s="25" t="s">
        <v>74</v>
      </c>
      <c r="G3" s="25" t="s">
        <v>48</v>
      </c>
      <c r="H3" s="25" t="s">
        <v>62</v>
      </c>
      <c r="I3" s="25" t="s">
        <v>74</v>
      </c>
      <c r="J3" s="25" t="s">
        <v>48</v>
      </c>
      <c r="K3" s="25" t="s">
        <v>62</v>
      </c>
      <c r="L3" s="25" t="s">
        <v>74</v>
      </c>
      <c r="M3" s="25" t="s">
        <v>48</v>
      </c>
      <c r="N3" s="25" t="s">
        <v>62</v>
      </c>
      <c r="O3" s="25" t="s">
        <v>74</v>
      </c>
      <c r="P3" s="25" t="s">
        <v>48</v>
      </c>
      <c r="Q3" s="25" t="s">
        <v>62</v>
      </c>
      <c r="R3" s="25" t="s">
        <v>74</v>
      </c>
      <c r="S3" s="26" t="s">
        <v>75</v>
      </c>
      <c r="T3" s="26" t="s">
        <v>76</v>
      </c>
      <c r="U3" s="26" t="s">
        <v>77</v>
      </c>
      <c r="V3" s="26" t="s">
        <v>78</v>
      </c>
    </row>
    <row r="4" customFormat="false" ht="15" hidden="false" customHeight="false" outlineLevel="0" collapsed="false">
      <c r="B4" s="27" t="str">
        <f aca="false">IF(프로젝트목록!B2="","",프로젝트목록!B2)</f>
        <v>AI 도형심리 검사 서비스</v>
      </c>
      <c r="C4" s="27" t="str">
        <f aca="false">IF(프로젝트목록!B2="","",프로젝트목록!C2)</f>
        <v>진행중</v>
      </c>
      <c r="D4" s="28" t="n">
        <f aca="false">IF($B4="","",SUMIFS(거래내역!$H$2:$H$501,거래내역!$D$2:$D$501,$B4,거래내역!$C$2:$C$501,2026,거래내역!$F$2:$F$501,"수익"))</f>
        <v>1250000</v>
      </c>
      <c r="E4" s="28" t="n">
        <f aca="false">IF($B4="","",SUMIFS(거래내역!$H$2:$H$501,거래내역!$D$2:$D$501,$B4,거래내역!$C$2:$C$501,2026,거래내역!$F$2:$F$501,"비용"))</f>
        <v>180000</v>
      </c>
      <c r="F4" s="29" t="n">
        <f aca="false">IF($B4="","",D4-E4)</f>
        <v>1070000</v>
      </c>
      <c r="G4" s="28" t="n">
        <f aca="false">IF($B4="","",SUMIFS(거래내역!$H$2:$H$501,거래내역!$D$2:$D$501,$B4,거래내역!$C$2:$C$501,2027,거래내역!$F$2:$F$501,"수익"))</f>
        <v>0</v>
      </c>
      <c r="H4" s="28" t="n">
        <f aca="false">IF($B4="","",SUMIFS(거래내역!$H$2:$H$501,거래내역!$D$2:$D$501,$B4,거래내역!$C$2:$C$501,2027,거래내역!$F$2:$F$501,"비용"))</f>
        <v>0</v>
      </c>
      <c r="I4" s="29" t="n">
        <f aca="false">IF($B4="","",G4-H4)</f>
        <v>0</v>
      </c>
      <c r="J4" s="28" t="n">
        <f aca="false">IF($B4="","",SUMIFS(거래내역!$H$2:$H$501,거래내역!$D$2:$D$501,$B4,거래내역!$C$2:$C$501,2028,거래내역!$F$2:$F$501,"수익"))</f>
        <v>0</v>
      </c>
      <c r="K4" s="28" t="n">
        <f aca="false">IF($B4="","",SUMIFS(거래내역!$H$2:$H$501,거래내역!$D$2:$D$501,$B4,거래내역!$C$2:$C$501,2028,거래내역!$F$2:$F$501,"비용"))</f>
        <v>0</v>
      </c>
      <c r="L4" s="29" t="n">
        <f aca="false">IF($B4="","",J4-K4)</f>
        <v>0</v>
      </c>
      <c r="M4" s="28" t="n">
        <f aca="false">IF($B4="","",SUMIFS(거래내역!$H$2:$H$501,거래내역!$D$2:$D$501,$B4,거래내역!$C$2:$C$501,2029,거래내역!$F$2:$F$501,"수익"))</f>
        <v>0</v>
      </c>
      <c r="N4" s="28" t="n">
        <f aca="false">IF($B4="","",SUMIFS(거래내역!$H$2:$H$501,거래내역!$D$2:$D$501,$B4,거래내역!$C$2:$C$501,2029,거래내역!$F$2:$F$501,"비용"))</f>
        <v>0</v>
      </c>
      <c r="O4" s="29" t="n">
        <f aca="false">IF($B4="","",M4-N4)</f>
        <v>0</v>
      </c>
      <c r="P4" s="28" t="n">
        <f aca="false">IF($B4="","",SUMIFS(거래내역!$H$2:$H$501,거래내역!$D$2:$D$501,$B4,거래내역!$C$2:$C$501,2030,거래내역!$F$2:$F$501,"수익"))</f>
        <v>0</v>
      </c>
      <c r="Q4" s="28" t="n">
        <f aca="false">IF($B4="","",SUMIFS(거래내역!$H$2:$H$501,거래내역!$D$2:$D$501,$B4,거래내역!$C$2:$C$501,2030,거래내역!$F$2:$F$501,"비용"))</f>
        <v>0</v>
      </c>
      <c r="R4" s="29" t="n">
        <f aca="false">IF($B4="","",P4-Q4)</f>
        <v>0</v>
      </c>
      <c r="S4" s="28" t="n">
        <f aca="false">IF($B4="","",SUMIFS(거래내역!$H$2:$H$501,거래내역!$D$2:$D$501,$B4,거래내역!$F$2:$F$501,"수익"))</f>
        <v>1250000</v>
      </c>
      <c r="T4" s="28" t="n">
        <f aca="false">IF($B4="","",SUMIFS(거래내역!$H$2:$H$501,거래내역!$D$2:$D$501,$B4,거래내역!$F$2:$F$501,"비용"))</f>
        <v>180000</v>
      </c>
      <c r="U4" s="29" t="n">
        <f aca="false">IF($B4="","",S4-T4)</f>
        <v>1070000</v>
      </c>
      <c r="V4" s="30" t="n">
        <f aca="false">IF(OR($B4="",S4=0),"",U4/S4)</f>
        <v>0.856</v>
      </c>
    </row>
    <row r="5" customFormat="false" ht="15" hidden="false" customHeight="false" outlineLevel="0" collapsed="false">
      <c r="B5" s="27" t="str">
        <f aca="false">IF(프로젝트목록!B3="","",프로젝트목록!B3)</f>
        <v/>
      </c>
      <c r="C5" s="27" t="str">
        <f aca="false">IF(프로젝트목록!B3="","",프로젝트목록!C3)</f>
        <v/>
      </c>
      <c r="D5" s="28" t="str">
        <f aca="false">IF($B5="","",SUMIFS(거래내역!$H$2:$H$501,거래내역!$D$2:$D$501,$B5,거래내역!$C$2:$C$501,2026,거래내역!$F$2:$F$501,"수익"))</f>
        <v/>
      </c>
      <c r="E5" s="28" t="str">
        <f aca="false">IF($B5="","",SUMIFS(거래내역!$H$2:$H$501,거래내역!$D$2:$D$501,$B5,거래내역!$C$2:$C$501,2026,거래내역!$F$2:$F$501,"비용"))</f>
        <v/>
      </c>
      <c r="F5" s="29" t="str">
        <f aca="false">IF($B5="","",D5-E5)</f>
        <v/>
      </c>
      <c r="G5" s="28" t="str">
        <f aca="false">IF($B5="","",SUMIFS(거래내역!$H$2:$H$501,거래내역!$D$2:$D$501,$B5,거래내역!$C$2:$C$501,2027,거래내역!$F$2:$F$501,"수익"))</f>
        <v/>
      </c>
      <c r="H5" s="28" t="str">
        <f aca="false">IF($B5="","",SUMIFS(거래내역!$H$2:$H$501,거래내역!$D$2:$D$501,$B5,거래내역!$C$2:$C$501,2027,거래내역!$F$2:$F$501,"비용"))</f>
        <v/>
      </c>
      <c r="I5" s="29" t="str">
        <f aca="false">IF($B5="","",G5-H5)</f>
        <v/>
      </c>
      <c r="J5" s="28" t="str">
        <f aca="false">IF($B5="","",SUMIFS(거래내역!$H$2:$H$501,거래내역!$D$2:$D$501,$B5,거래내역!$C$2:$C$501,2028,거래내역!$F$2:$F$501,"수익"))</f>
        <v/>
      </c>
      <c r="K5" s="28" t="str">
        <f aca="false">IF($B5="","",SUMIFS(거래내역!$H$2:$H$501,거래내역!$D$2:$D$501,$B5,거래내역!$C$2:$C$501,2028,거래내역!$F$2:$F$501,"비용"))</f>
        <v/>
      </c>
      <c r="L5" s="29" t="str">
        <f aca="false">IF($B5="","",J5-K5)</f>
        <v/>
      </c>
      <c r="M5" s="28" t="str">
        <f aca="false">IF($B5="","",SUMIFS(거래내역!$H$2:$H$501,거래내역!$D$2:$D$501,$B5,거래내역!$C$2:$C$501,2029,거래내역!$F$2:$F$501,"수익"))</f>
        <v/>
      </c>
      <c r="N5" s="28" t="str">
        <f aca="false">IF($B5="","",SUMIFS(거래내역!$H$2:$H$501,거래내역!$D$2:$D$501,$B5,거래내역!$C$2:$C$501,2029,거래내역!$F$2:$F$501,"비용"))</f>
        <v/>
      </c>
      <c r="O5" s="29" t="str">
        <f aca="false">IF($B5="","",M5-N5)</f>
        <v/>
      </c>
      <c r="P5" s="28" t="str">
        <f aca="false">IF($B5="","",SUMIFS(거래내역!$H$2:$H$501,거래내역!$D$2:$D$501,$B5,거래내역!$C$2:$C$501,2030,거래내역!$F$2:$F$501,"수익"))</f>
        <v/>
      </c>
      <c r="Q5" s="28" t="str">
        <f aca="false">IF($B5="","",SUMIFS(거래내역!$H$2:$H$501,거래내역!$D$2:$D$501,$B5,거래내역!$C$2:$C$501,2030,거래내역!$F$2:$F$501,"비용"))</f>
        <v/>
      </c>
      <c r="R5" s="29" t="str">
        <f aca="false">IF($B5="","",P5-Q5)</f>
        <v/>
      </c>
      <c r="S5" s="28" t="str">
        <f aca="false">IF($B5="","",SUMIFS(거래내역!$H$2:$H$501,거래내역!$D$2:$D$501,$B5,거래내역!$F$2:$F$501,"수익"))</f>
        <v/>
      </c>
      <c r="T5" s="28" t="str">
        <f aca="false">IF($B5="","",SUMIFS(거래내역!$H$2:$H$501,거래내역!$D$2:$D$501,$B5,거래내역!$F$2:$F$501,"비용"))</f>
        <v/>
      </c>
      <c r="U5" s="29" t="str">
        <f aca="false">IF($B5="","",S5-T5)</f>
        <v/>
      </c>
      <c r="V5" s="30" t="str">
        <f aca="false">IF(OR($B5="",S5=0),"",U5/S5)</f>
        <v/>
      </c>
    </row>
    <row r="6" customFormat="false" ht="15" hidden="false" customHeight="false" outlineLevel="0" collapsed="false">
      <c r="B6" s="27" t="str">
        <f aca="false">IF(프로젝트목록!B4="","",프로젝트목록!B4)</f>
        <v/>
      </c>
      <c r="C6" s="27" t="str">
        <f aca="false">IF(프로젝트목록!B4="","",프로젝트목록!C4)</f>
        <v/>
      </c>
      <c r="D6" s="28" t="str">
        <f aca="false">IF($B6="","",SUMIFS(거래내역!$H$2:$H$501,거래내역!$D$2:$D$501,$B6,거래내역!$C$2:$C$501,2026,거래내역!$F$2:$F$501,"수익"))</f>
        <v/>
      </c>
      <c r="E6" s="28" t="str">
        <f aca="false">IF($B6="","",SUMIFS(거래내역!$H$2:$H$501,거래내역!$D$2:$D$501,$B6,거래내역!$C$2:$C$501,2026,거래내역!$F$2:$F$501,"비용"))</f>
        <v/>
      </c>
      <c r="F6" s="29" t="str">
        <f aca="false">IF($B6="","",D6-E6)</f>
        <v/>
      </c>
      <c r="G6" s="28" t="str">
        <f aca="false">IF($B6="","",SUMIFS(거래내역!$H$2:$H$501,거래내역!$D$2:$D$501,$B6,거래내역!$C$2:$C$501,2027,거래내역!$F$2:$F$501,"수익"))</f>
        <v/>
      </c>
      <c r="H6" s="28" t="str">
        <f aca="false">IF($B6="","",SUMIFS(거래내역!$H$2:$H$501,거래내역!$D$2:$D$501,$B6,거래내역!$C$2:$C$501,2027,거래내역!$F$2:$F$501,"비용"))</f>
        <v/>
      </c>
      <c r="I6" s="29" t="str">
        <f aca="false">IF($B6="","",G6-H6)</f>
        <v/>
      </c>
      <c r="J6" s="28" t="str">
        <f aca="false">IF($B6="","",SUMIFS(거래내역!$H$2:$H$501,거래내역!$D$2:$D$501,$B6,거래내역!$C$2:$C$501,2028,거래내역!$F$2:$F$501,"수익"))</f>
        <v/>
      </c>
      <c r="K6" s="28" t="str">
        <f aca="false">IF($B6="","",SUMIFS(거래내역!$H$2:$H$501,거래내역!$D$2:$D$501,$B6,거래내역!$C$2:$C$501,2028,거래내역!$F$2:$F$501,"비용"))</f>
        <v/>
      </c>
      <c r="L6" s="29" t="str">
        <f aca="false">IF($B6="","",J6-K6)</f>
        <v/>
      </c>
      <c r="M6" s="28" t="str">
        <f aca="false">IF($B6="","",SUMIFS(거래내역!$H$2:$H$501,거래내역!$D$2:$D$501,$B6,거래내역!$C$2:$C$501,2029,거래내역!$F$2:$F$501,"수익"))</f>
        <v/>
      </c>
      <c r="N6" s="28" t="str">
        <f aca="false">IF($B6="","",SUMIFS(거래내역!$H$2:$H$501,거래내역!$D$2:$D$501,$B6,거래내역!$C$2:$C$501,2029,거래내역!$F$2:$F$501,"비용"))</f>
        <v/>
      </c>
      <c r="O6" s="29" t="str">
        <f aca="false">IF($B6="","",M6-N6)</f>
        <v/>
      </c>
      <c r="P6" s="28" t="str">
        <f aca="false">IF($B6="","",SUMIFS(거래내역!$H$2:$H$501,거래내역!$D$2:$D$501,$B6,거래내역!$C$2:$C$501,2030,거래내역!$F$2:$F$501,"수익"))</f>
        <v/>
      </c>
      <c r="Q6" s="28" t="str">
        <f aca="false">IF($B6="","",SUMIFS(거래내역!$H$2:$H$501,거래내역!$D$2:$D$501,$B6,거래내역!$C$2:$C$501,2030,거래내역!$F$2:$F$501,"비용"))</f>
        <v/>
      </c>
      <c r="R6" s="29" t="str">
        <f aca="false">IF($B6="","",P6-Q6)</f>
        <v/>
      </c>
      <c r="S6" s="28" t="str">
        <f aca="false">IF($B6="","",SUMIFS(거래내역!$H$2:$H$501,거래내역!$D$2:$D$501,$B6,거래내역!$F$2:$F$501,"수익"))</f>
        <v/>
      </c>
      <c r="T6" s="28" t="str">
        <f aca="false">IF($B6="","",SUMIFS(거래내역!$H$2:$H$501,거래내역!$D$2:$D$501,$B6,거래내역!$F$2:$F$501,"비용"))</f>
        <v/>
      </c>
      <c r="U6" s="29" t="str">
        <f aca="false">IF($B6="","",S6-T6)</f>
        <v/>
      </c>
      <c r="V6" s="30" t="str">
        <f aca="false">IF(OR($B6="",S6=0),"",U6/S6)</f>
        <v/>
      </c>
    </row>
    <row r="7" customFormat="false" ht="15" hidden="false" customHeight="false" outlineLevel="0" collapsed="false">
      <c r="B7" s="27" t="str">
        <f aca="false">IF(프로젝트목록!B5="","",프로젝트목록!B5)</f>
        <v/>
      </c>
      <c r="C7" s="27" t="str">
        <f aca="false">IF(프로젝트목록!B5="","",프로젝트목록!C5)</f>
        <v/>
      </c>
      <c r="D7" s="28" t="str">
        <f aca="false">IF($B7="","",SUMIFS(거래내역!$H$2:$H$501,거래내역!$D$2:$D$501,$B7,거래내역!$C$2:$C$501,2026,거래내역!$F$2:$F$501,"수익"))</f>
        <v/>
      </c>
      <c r="E7" s="28" t="str">
        <f aca="false">IF($B7="","",SUMIFS(거래내역!$H$2:$H$501,거래내역!$D$2:$D$501,$B7,거래내역!$C$2:$C$501,2026,거래내역!$F$2:$F$501,"비용"))</f>
        <v/>
      </c>
      <c r="F7" s="29" t="str">
        <f aca="false">IF($B7="","",D7-E7)</f>
        <v/>
      </c>
      <c r="G7" s="28" t="str">
        <f aca="false">IF($B7="","",SUMIFS(거래내역!$H$2:$H$501,거래내역!$D$2:$D$501,$B7,거래내역!$C$2:$C$501,2027,거래내역!$F$2:$F$501,"수익"))</f>
        <v/>
      </c>
      <c r="H7" s="28" t="str">
        <f aca="false">IF($B7="","",SUMIFS(거래내역!$H$2:$H$501,거래내역!$D$2:$D$501,$B7,거래내역!$C$2:$C$501,2027,거래내역!$F$2:$F$501,"비용"))</f>
        <v/>
      </c>
      <c r="I7" s="29" t="str">
        <f aca="false">IF($B7="","",G7-H7)</f>
        <v/>
      </c>
      <c r="J7" s="28" t="str">
        <f aca="false">IF($B7="","",SUMIFS(거래내역!$H$2:$H$501,거래내역!$D$2:$D$501,$B7,거래내역!$C$2:$C$501,2028,거래내역!$F$2:$F$501,"수익"))</f>
        <v/>
      </c>
      <c r="K7" s="28" t="str">
        <f aca="false">IF($B7="","",SUMIFS(거래내역!$H$2:$H$501,거래내역!$D$2:$D$501,$B7,거래내역!$C$2:$C$501,2028,거래내역!$F$2:$F$501,"비용"))</f>
        <v/>
      </c>
      <c r="L7" s="29" t="str">
        <f aca="false">IF($B7="","",J7-K7)</f>
        <v/>
      </c>
      <c r="M7" s="28" t="str">
        <f aca="false">IF($B7="","",SUMIFS(거래내역!$H$2:$H$501,거래내역!$D$2:$D$501,$B7,거래내역!$C$2:$C$501,2029,거래내역!$F$2:$F$501,"수익"))</f>
        <v/>
      </c>
      <c r="N7" s="28" t="str">
        <f aca="false">IF($B7="","",SUMIFS(거래내역!$H$2:$H$501,거래내역!$D$2:$D$501,$B7,거래내역!$C$2:$C$501,2029,거래내역!$F$2:$F$501,"비용"))</f>
        <v/>
      </c>
      <c r="O7" s="29" t="str">
        <f aca="false">IF($B7="","",M7-N7)</f>
        <v/>
      </c>
      <c r="P7" s="28" t="str">
        <f aca="false">IF($B7="","",SUMIFS(거래내역!$H$2:$H$501,거래내역!$D$2:$D$501,$B7,거래내역!$C$2:$C$501,2030,거래내역!$F$2:$F$501,"수익"))</f>
        <v/>
      </c>
      <c r="Q7" s="28" t="str">
        <f aca="false">IF($B7="","",SUMIFS(거래내역!$H$2:$H$501,거래내역!$D$2:$D$501,$B7,거래내역!$C$2:$C$501,2030,거래내역!$F$2:$F$501,"비용"))</f>
        <v/>
      </c>
      <c r="R7" s="29" t="str">
        <f aca="false">IF($B7="","",P7-Q7)</f>
        <v/>
      </c>
      <c r="S7" s="28" t="str">
        <f aca="false">IF($B7="","",SUMIFS(거래내역!$H$2:$H$501,거래내역!$D$2:$D$501,$B7,거래내역!$F$2:$F$501,"수익"))</f>
        <v/>
      </c>
      <c r="T7" s="28" t="str">
        <f aca="false">IF($B7="","",SUMIFS(거래내역!$H$2:$H$501,거래내역!$D$2:$D$501,$B7,거래내역!$F$2:$F$501,"비용"))</f>
        <v/>
      </c>
      <c r="U7" s="29" t="str">
        <f aca="false">IF($B7="","",S7-T7)</f>
        <v/>
      </c>
      <c r="V7" s="30" t="str">
        <f aca="false">IF(OR($B7="",S7=0),"",U7/S7)</f>
        <v/>
      </c>
    </row>
    <row r="8" customFormat="false" ht="15" hidden="false" customHeight="false" outlineLevel="0" collapsed="false">
      <c r="B8" s="27" t="str">
        <f aca="false">IF(프로젝트목록!B6="","",프로젝트목록!B6)</f>
        <v/>
      </c>
      <c r="C8" s="27" t="str">
        <f aca="false">IF(프로젝트목록!B6="","",프로젝트목록!C6)</f>
        <v/>
      </c>
      <c r="D8" s="28" t="str">
        <f aca="false">IF($B8="","",SUMIFS(거래내역!$H$2:$H$501,거래내역!$D$2:$D$501,$B8,거래내역!$C$2:$C$501,2026,거래내역!$F$2:$F$501,"수익"))</f>
        <v/>
      </c>
      <c r="E8" s="28" t="str">
        <f aca="false">IF($B8="","",SUMIFS(거래내역!$H$2:$H$501,거래내역!$D$2:$D$501,$B8,거래내역!$C$2:$C$501,2026,거래내역!$F$2:$F$501,"비용"))</f>
        <v/>
      </c>
      <c r="F8" s="29" t="str">
        <f aca="false">IF($B8="","",D8-E8)</f>
        <v/>
      </c>
      <c r="G8" s="28" t="str">
        <f aca="false">IF($B8="","",SUMIFS(거래내역!$H$2:$H$501,거래내역!$D$2:$D$501,$B8,거래내역!$C$2:$C$501,2027,거래내역!$F$2:$F$501,"수익"))</f>
        <v/>
      </c>
      <c r="H8" s="28" t="str">
        <f aca="false">IF($B8="","",SUMIFS(거래내역!$H$2:$H$501,거래내역!$D$2:$D$501,$B8,거래내역!$C$2:$C$501,2027,거래내역!$F$2:$F$501,"비용"))</f>
        <v/>
      </c>
      <c r="I8" s="29" t="str">
        <f aca="false">IF($B8="","",G8-H8)</f>
        <v/>
      </c>
      <c r="J8" s="28" t="str">
        <f aca="false">IF($B8="","",SUMIFS(거래내역!$H$2:$H$501,거래내역!$D$2:$D$501,$B8,거래내역!$C$2:$C$501,2028,거래내역!$F$2:$F$501,"수익"))</f>
        <v/>
      </c>
      <c r="K8" s="28" t="str">
        <f aca="false">IF($B8="","",SUMIFS(거래내역!$H$2:$H$501,거래내역!$D$2:$D$501,$B8,거래내역!$C$2:$C$501,2028,거래내역!$F$2:$F$501,"비용"))</f>
        <v/>
      </c>
      <c r="L8" s="29" t="str">
        <f aca="false">IF($B8="","",J8-K8)</f>
        <v/>
      </c>
      <c r="M8" s="28" t="str">
        <f aca="false">IF($B8="","",SUMIFS(거래내역!$H$2:$H$501,거래내역!$D$2:$D$501,$B8,거래내역!$C$2:$C$501,2029,거래내역!$F$2:$F$501,"수익"))</f>
        <v/>
      </c>
      <c r="N8" s="28" t="str">
        <f aca="false">IF($B8="","",SUMIFS(거래내역!$H$2:$H$501,거래내역!$D$2:$D$501,$B8,거래내역!$C$2:$C$501,2029,거래내역!$F$2:$F$501,"비용"))</f>
        <v/>
      </c>
      <c r="O8" s="29" t="str">
        <f aca="false">IF($B8="","",M8-N8)</f>
        <v/>
      </c>
      <c r="P8" s="28" t="str">
        <f aca="false">IF($B8="","",SUMIFS(거래내역!$H$2:$H$501,거래내역!$D$2:$D$501,$B8,거래내역!$C$2:$C$501,2030,거래내역!$F$2:$F$501,"수익"))</f>
        <v/>
      </c>
      <c r="Q8" s="28" t="str">
        <f aca="false">IF($B8="","",SUMIFS(거래내역!$H$2:$H$501,거래내역!$D$2:$D$501,$B8,거래내역!$C$2:$C$501,2030,거래내역!$F$2:$F$501,"비용"))</f>
        <v/>
      </c>
      <c r="R8" s="29" t="str">
        <f aca="false">IF($B8="","",P8-Q8)</f>
        <v/>
      </c>
      <c r="S8" s="28" t="str">
        <f aca="false">IF($B8="","",SUMIFS(거래내역!$H$2:$H$501,거래내역!$D$2:$D$501,$B8,거래내역!$F$2:$F$501,"수익"))</f>
        <v/>
      </c>
      <c r="T8" s="28" t="str">
        <f aca="false">IF($B8="","",SUMIFS(거래내역!$H$2:$H$501,거래내역!$D$2:$D$501,$B8,거래내역!$F$2:$F$501,"비용"))</f>
        <v/>
      </c>
      <c r="U8" s="29" t="str">
        <f aca="false">IF($B8="","",S8-T8)</f>
        <v/>
      </c>
      <c r="V8" s="30" t="str">
        <f aca="false">IF(OR($B8="",S8=0),"",U8/S8)</f>
        <v/>
      </c>
    </row>
    <row r="9" customFormat="false" ht="15" hidden="false" customHeight="false" outlineLevel="0" collapsed="false">
      <c r="B9" s="27" t="str">
        <f aca="false">IF(프로젝트목록!B7="","",프로젝트목록!B7)</f>
        <v/>
      </c>
      <c r="C9" s="27" t="str">
        <f aca="false">IF(프로젝트목록!B7="","",프로젝트목록!C7)</f>
        <v/>
      </c>
      <c r="D9" s="28" t="str">
        <f aca="false">IF($B9="","",SUMIFS(거래내역!$H$2:$H$501,거래내역!$D$2:$D$501,$B9,거래내역!$C$2:$C$501,2026,거래내역!$F$2:$F$501,"수익"))</f>
        <v/>
      </c>
      <c r="E9" s="28" t="str">
        <f aca="false">IF($B9="","",SUMIFS(거래내역!$H$2:$H$501,거래내역!$D$2:$D$501,$B9,거래내역!$C$2:$C$501,2026,거래내역!$F$2:$F$501,"비용"))</f>
        <v/>
      </c>
      <c r="F9" s="29" t="str">
        <f aca="false">IF($B9="","",D9-E9)</f>
        <v/>
      </c>
      <c r="G9" s="28" t="str">
        <f aca="false">IF($B9="","",SUMIFS(거래내역!$H$2:$H$501,거래내역!$D$2:$D$501,$B9,거래내역!$C$2:$C$501,2027,거래내역!$F$2:$F$501,"수익"))</f>
        <v/>
      </c>
      <c r="H9" s="28" t="str">
        <f aca="false">IF($B9="","",SUMIFS(거래내역!$H$2:$H$501,거래내역!$D$2:$D$501,$B9,거래내역!$C$2:$C$501,2027,거래내역!$F$2:$F$501,"비용"))</f>
        <v/>
      </c>
      <c r="I9" s="29" t="str">
        <f aca="false">IF($B9="","",G9-H9)</f>
        <v/>
      </c>
      <c r="J9" s="28" t="str">
        <f aca="false">IF($B9="","",SUMIFS(거래내역!$H$2:$H$501,거래내역!$D$2:$D$501,$B9,거래내역!$C$2:$C$501,2028,거래내역!$F$2:$F$501,"수익"))</f>
        <v/>
      </c>
      <c r="K9" s="28" t="str">
        <f aca="false">IF($B9="","",SUMIFS(거래내역!$H$2:$H$501,거래내역!$D$2:$D$501,$B9,거래내역!$C$2:$C$501,2028,거래내역!$F$2:$F$501,"비용"))</f>
        <v/>
      </c>
      <c r="L9" s="29" t="str">
        <f aca="false">IF($B9="","",J9-K9)</f>
        <v/>
      </c>
      <c r="M9" s="28" t="str">
        <f aca="false">IF($B9="","",SUMIFS(거래내역!$H$2:$H$501,거래내역!$D$2:$D$501,$B9,거래내역!$C$2:$C$501,2029,거래내역!$F$2:$F$501,"수익"))</f>
        <v/>
      </c>
      <c r="N9" s="28" t="str">
        <f aca="false">IF($B9="","",SUMIFS(거래내역!$H$2:$H$501,거래내역!$D$2:$D$501,$B9,거래내역!$C$2:$C$501,2029,거래내역!$F$2:$F$501,"비용"))</f>
        <v/>
      </c>
      <c r="O9" s="29" t="str">
        <f aca="false">IF($B9="","",M9-N9)</f>
        <v/>
      </c>
      <c r="P9" s="28" t="str">
        <f aca="false">IF($B9="","",SUMIFS(거래내역!$H$2:$H$501,거래내역!$D$2:$D$501,$B9,거래내역!$C$2:$C$501,2030,거래내역!$F$2:$F$501,"수익"))</f>
        <v/>
      </c>
      <c r="Q9" s="28" t="str">
        <f aca="false">IF($B9="","",SUMIFS(거래내역!$H$2:$H$501,거래내역!$D$2:$D$501,$B9,거래내역!$C$2:$C$501,2030,거래내역!$F$2:$F$501,"비용"))</f>
        <v/>
      </c>
      <c r="R9" s="29" t="str">
        <f aca="false">IF($B9="","",P9-Q9)</f>
        <v/>
      </c>
      <c r="S9" s="28" t="str">
        <f aca="false">IF($B9="","",SUMIFS(거래내역!$H$2:$H$501,거래내역!$D$2:$D$501,$B9,거래내역!$F$2:$F$501,"수익"))</f>
        <v/>
      </c>
      <c r="T9" s="28" t="str">
        <f aca="false">IF($B9="","",SUMIFS(거래내역!$H$2:$H$501,거래내역!$D$2:$D$501,$B9,거래내역!$F$2:$F$501,"비용"))</f>
        <v/>
      </c>
      <c r="U9" s="29" t="str">
        <f aca="false">IF($B9="","",S9-T9)</f>
        <v/>
      </c>
      <c r="V9" s="30" t="str">
        <f aca="false">IF(OR($B9="",S9=0),"",U9/S9)</f>
        <v/>
      </c>
    </row>
    <row r="10" customFormat="false" ht="15" hidden="false" customHeight="false" outlineLevel="0" collapsed="false">
      <c r="B10" s="27" t="str">
        <f aca="false">IF(프로젝트목록!B8="","",프로젝트목록!B8)</f>
        <v/>
      </c>
      <c r="C10" s="27" t="str">
        <f aca="false">IF(프로젝트목록!B8="","",프로젝트목록!C8)</f>
        <v/>
      </c>
      <c r="D10" s="28" t="str">
        <f aca="false">IF($B10="","",SUMIFS(거래내역!$H$2:$H$501,거래내역!$D$2:$D$501,$B10,거래내역!$C$2:$C$501,2026,거래내역!$F$2:$F$501,"수익"))</f>
        <v/>
      </c>
      <c r="E10" s="28" t="str">
        <f aca="false">IF($B10="","",SUMIFS(거래내역!$H$2:$H$501,거래내역!$D$2:$D$501,$B10,거래내역!$C$2:$C$501,2026,거래내역!$F$2:$F$501,"비용"))</f>
        <v/>
      </c>
      <c r="F10" s="29" t="str">
        <f aca="false">IF($B10="","",D10-E10)</f>
        <v/>
      </c>
      <c r="G10" s="28" t="str">
        <f aca="false">IF($B10="","",SUMIFS(거래내역!$H$2:$H$501,거래내역!$D$2:$D$501,$B10,거래내역!$C$2:$C$501,2027,거래내역!$F$2:$F$501,"수익"))</f>
        <v/>
      </c>
      <c r="H10" s="28" t="str">
        <f aca="false">IF($B10="","",SUMIFS(거래내역!$H$2:$H$501,거래내역!$D$2:$D$501,$B10,거래내역!$C$2:$C$501,2027,거래내역!$F$2:$F$501,"비용"))</f>
        <v/>
      </c>
      <c r="I10" s="29" t="str">
        <f aca="false">IF($B10="","",G10-H10)</f>
        <v/>
      </c>
      <c r="J10" s="28" t="str">
        <f aca="false">IF($B10="","",SUMIFS(거래내역!$H$2:$H$501,거래내역!$D$2:$D$501,$B10,거래내역!$C$2:$C$501,2028,거래내역!$F$2:$F$501,"수익"))</f>
        <v/>
      </c>
      <c r="K10" s="28" t="str">
        <f aca="false">IF($B10="","",SUMIFS(거래내역!$H$2:$H$501,거래내역!$D$2:$D$501,$B10,거래내역!$C$2:$C$501,2028,거래내역!$F$2:$F$501,"비용"))</f>
        <v/>
      </c>
      <c r="L10" s="29" t="str">
        <f aca="false">IF($B10="","",J10-K10)</f>
        <v/>
      </c>
      <c r="M10" s="28" t="str">
        <f aca="false">IF($B10="","",SUMIFS(거래내역!$H$2:$H$501,거래내역!$D$2:$D$501,$B10,거래내역!$C$2:$C$501,2029,거래내역!$F$2:$F$501,"수익"))</f>
        <v/>
      </c>
      <c r="N10" s="28" t="str">
        <f aca="false">IF($B10="","",SUMIFS(거래내역!$H$2:$H$501,거래내역!$D$2:$D$501,$B10,거래내역!$C$2:$C$501,2029,거래내역!$F$2:$F$501,"비용"))</f>
        <v/>
      </c>
      <c r="O10" s="29" t="str">
        <f aca="false">IF($B10="","",M10-N10)</f>
        <v/>
      </c>
      <c r="P10" s="28" t="str">
        <f aca="false">IF($B10="","",SUMIFS(거래내역!$H$2:$H$501,거래내역!$D$2:$D$501,$B10,거래내역!$C$2:$C$501,2030,거래내역!$F$2:$F$501,"수익"))</f>
        <v/>
      </c>
      <c r="Q10" s="28" t="str">
        <f aca="false">IF($B10="","",SUMIFS(거래내역!$H$2:$H$501,거래내역!$D$2:$D$501,$B10,거래내역!$C$2:$C$501,2030,거래내역!$F$2:$F$501,"비용"))</f>
        <v/>
      </c>
      <c r="R10" s="29" t="str">
        <f aca="false">IF($B10="","",P10-Q10)</f>
        <v/>
      </c>
      <c r="S10" s="28" t="str">
        <f aca="false">IF($B10="","",SUMIFS(거래내역!$H$2:$H$501,거래내역!$D$2:$D$501,$B10,거래내역!$F$2:$F$501,"수익"))</f>
        <v/>
      </c>
      <c r="T10" s="28" t="str">
        <f aca="false">IF($B10="","",SUMIFS(거래내역!$H$2:$H$501,거래내역!$D$2:$D$501,$B10,거래내역!$F$2:$F$501,"비용"))</f>
        <v/>
      </c>
      <c r="U10" s="29" t="str">
        <f aca="false">IF($B10="","",S10-T10)</f>
        <v/>
      </c>
      <c r="V10" s="30" t="str">
        <f aca="false">IF(OR($B10="",S10=0),"",U10/S10)</f>
        <v/>
      </c>
    </row>
    <row r="11" customFormat="false" ht="15" hidden="false" customHeight="false" outlineLevel="0" collapsed="false">
      <c r="B11" s="27" t="str">
        <f aca="false">IF(프로젝트목록!B9="","",프로젝트목록!B9)</f>
        <v/>
      </c>
      <c r="C11" s="27" t="str">
        <f aca="false">IF(프로젝트목록!B9="","",프로젝트목록!C9)</f>
        <v/>
      </c>
      <c r="D11" s="28" t="str">
        <f aca="false">IF($B11="","",SUMIFS(거래내역!$H$2:$H$501,거래내역!$D$2:$D$501,$B11,거래내역!$C$2:$C$501,2026,거래내역!$F$2:$F$501,"수익"))</f>
        <v/>
      </c>
      <c r="E11" s="28" t="str">
        <f aca="false">IF($B11="","",SUMIFS(거래내역!$H$2:$H$501,거래내역!$D$2:$D$501,$B11,거래내역!$C$2:$C$501,2026,거래내역!$F$2:$F$501,"비용"))</f>
        <v/>
      </c>
      <c r="F11" s="29" t="str">
        <f aca="false">IF($B11="","",D11-E11)</f>
        <v/>
      </c>
      <c r="G11" s="28" t="str">
        <f aca="false">IF($B11="","",SUMIFS(거래내역!$H$2:$H$501,거래내역!$D$2:$D$501,$B11,거래내역!$C$2:$C$501,2027,거래내역!$F$2:$F$501,"수익"))</f>
        <v/>
      </c>
      <c r="H11" s="28" t="str">
        <f aca="false">IF($B11="","",SUMIFS(거래내역!$H$2:$H$501,거래내역!$D$2:$D$501,$B11,거래내역!$C$2:$C$501,2027,거래내역!$F$2:$F$501,"비용"))</f>
        <v/>
      </c>
      <c r="I11" s="29" t="str">
        <f aca="false">IF($B11="","",G11-H11)</f>
        <v/>
      </c>
      <c r="J11" s="28" t="str">
        <f aca="false">IF($B11="","",SUMIFS(거래내역!$H$2:$H$501,거래내역!$D$2:$D$501,$B11,거래내역!$C$2:$C$501,2028,거래내역!$F$2:$F$501,"수익"))</f>
        <v/>
      </c>
      <c r="K11" s="28" t="str">
        <f aca="false">IF($B11="","",SUMIFS(거래내역!$H$2:$H$501,거래내역!$D$2:$D$501,$B11,거래내역!$C$2:$C$501,2028,거래내역!$F$2:$F$501,"비용"))</f>
        <v/>
      </c>
      <c r="L11" s="29" t="str">
        <f aca="false">IF($B11="","",J11-K11)</f>
        <v/>
      </c>
      <c r="M11" s="28" t="str">
        <f aca="false">IF($B11="","",SUMIFS(거래내역!$H$2:$H$501,거래내역!$D$2:$D$501,$B11,거래내역!$C$2:$C$501,2029,거래내역!$F$2:$F$501,"수익"))</f>
        <v/>
      </c>
      <c r="N11" s="28" t="str">
        <f aca="false">IF($B11="","",SUMIFS(거래내역!$H$2:$H$501,거래내역!$D$2:$D$501,$B11,거래내역!$C$2:$C$501,2029,거래내역!$F$2:$F$501,"비용"))</f>
        <v/>
      </c>
      <c r="O11" s="29" t="str">
        <f aca="false">IF($B11="","",M11-N11)</f>
        <v/>
      </c>
      <c r="P11" s="28" t="str">
        <f aca="false">IF($B11="","",SUMIFS(거래내역!$H$2:$H$501,거래내역!$D$2:$D$501,$B11,거래내역!$C$2:$C$501,2030,거래내역!$F$2:$F$501,"수익"))</f>
        <v/>
      </c>
      <c r="Q11" s="28" t="str">
        <f aca="false">IF($B11="","",SUMIFS(거래내역!$H$2:$H$501,거래내역!$D$2:$D$501,$B11,거래내역!$C$2:$C$501,2030,거래내역!$F$2:$F$501,"비용"))</f>
        <v/>
      </c>
      <c r="R11" s="29" t="str">
        <f aca="false">IF($B11="","",P11-Q11)</f>
        <v/>
      </c>
      <c r="S11" s="28" t="str">
        <f aca="false">IF($B11="","",SUMIFS(거래내역!$H$2:$H$501,거래내역!$D$2:$D$501,$B11,거래내역!$F$2:$F$501,"수익"))</f>
        <v/>
      </c>
      <c r="T11" s="28" t="str">
        <f aca="false">IF($B11="","",SUMIFS(거래내역!$H$2:$H$501,거래내역!$D$2:$D$501,$B11,거래내역!$F$2:$F$501,"비용"))</f>
        <v/>
      </c>
      <c r="U11" s="29" t="str">
        <f aca="false">IF($B11="","",S11-T11)</f>
        <v/>
      </c>
      <c r="V11" s="30" t="str">
        <f aca="false">IF(OR($B11="",S11=0),"",U11/S11)</f>
        <v/>
      </c>
    </row>
    <row r="12" customFormat="false" ht="15" hidden="false" customHeight="false" outlineLevel="0" collapsed="false">
      <c r="B12" s="27" t="str">
        <f aca="false">IF(프로젝트목록!B10="","",프로젝트목록!B10)</f>
        <v/>
      </c>
      <c r="C12" s="27" t="str">
        <f aca="false">IF(프로젝트목록!B10="","",프로젝트목록!C10)</f>
        <v/>
      </c>
      <c r="D12" s="28" t="str">
        <f aca="false">IF($B12="","",SUMIFS(거래내역!$H$2:$H$501,거래내역!$D$2:$D$501,$B12,거래내역!$C$2:$C$501,2026,거래내역!$F$2:$F$501,"수익"))</f>
        <v/>
      </c>
      <c r="E12" s="28" t="str">
        <f aca="false">IF($B12="","",SUMIFS(거래내역!$H$2:$H$501,거래내역!$D$2:$D$501,$B12,거래내역!$C$2:$C$501,2026,거래내역!$F$2:$F$501,"비용"))</f>
        <v/>
      </c>
      <c r="F12" s="29" t="str">
        <f aca="false">IF($B12="","",D12-E12)</f>
        <v/>
      </c>
      <c r="G12" s="28" t="str">
        <f aca="false">IF($B12="","",SUMIFS(거래내역!$H$2:$H$501,거래내역!$D$2:$D$501,$B12,거래내역!$C$2:$C$501,2027,거래내역!$F$2:$F$501,"수익"))</f>
        <v/>
      </c>
      <c r="H12" s="28" t="str">
        <f aca="false">IF($B12="","",SUMIFS(거래내역!$H$2:$H$501,거래내역!$D$2:$D$501,$B12,거래내역!$C$2:$C$501,2027,거래내역!$F$2:$F$501,"비용"))</f>
        <v/>
      </c>
      <c r="I12" s="29" t="str">
        <f aca="false">IF($B12="","",G12-H12)</f>
        <v/>
      </c>
      <c r="J12" s="28" t="str">
        <f aca="false">IF($B12="","",SUMIFS(거래내역!$H$2:$H$501,거래내역!$D$2:$D$501,$B12,거래내역!$C$2:$C$501,2028,거래내역!$F$2:$F$501,"수익"))</f>
        <v/>
      </c>
      <c r="K12" s="28" t="str">
        <f aca="false">IF($B12="","",SUMIFS(거래내역!$H$2:$H$501,거래내역!$D$2:$D$501,$B12,거래내역!$C$2:$C$501,2028,거래내역!$F$2:$F$501,"비용"))</f>
        <v/>
      </c>
      <c r="L12" s="29" t="str">
        <f aca="false">IF($B12="","",J12-K12)</f>
        <v/>
      </c>
      <c r="M12" s="28" t="str">
        <f aca="false">IF($B12="","",SUMIFS(거래내역!$H$2:$H$501,거래내역!$D$2:$D$501,$B12,거래내역!$C$2:$C$501,2029,거래내역!$F$2:$F$501,"수익"))</f>
        <v/>
      </c>
      <c r="N12" s="28" t="str">
        <f aca="false">IF($B12="","",SUMIFS(거래내역!$H$2:$H$501,거래내역!$D$2:$D$501,$B12,거래내역!$C$2:$C$501,2029,거래내역!$F$2:$F$501,"비용"))</f>
        <v/>
      </c>
      <c r="O12" s="29" t="str">
        <f aca="false">IF($B12="","",M12-N12)</f>
        <v/>
      </c>
      <c r="P12" s="28" t="str">
        <f aca="false">IF($B12="","",SUMIFS(거래내역!$H$2:$H$501,거래내역!$D$2:$D$501,$B12,거래내역!$C$2:$C$501,2030,거래내역!$F$2:$F$501,"수익"))</f>
        <v/>
      </c>
      <c r="Q12" s="28" t="str">
        <f aca="false">IF($B12="","",SUMIFS(거래내역!$H$2:$H$501,거래내역!$D$2:$D$501,$B12,거래내역!$C$2:$C$501,2030,거래내역!$F$2:$F$501,"비용"))</f>
        <v/>
      </c>
      <c r="R12" s="29" t="str">
        <f aca="false">IF($B12="","",P12-Q12)</f>
        <v/>
      </c>
      <c r="S12" s="28" t="str">
        <f aca="false">IF($B12="","",SUMIFS(거래내역!$H$2:$H$501,거래내역!$D$2:$D$501,$B12,거래내역!$F$2:$F$501,"수익"))</f>
        <v/>
      </c>
      <c r="T12" s="28" t="str">
        <f aca="false">IF($B12="","",SUMIFS(거래내역!$H$2:$H$501,거래내역!$D$2:$D$501,$B12,거래내역!$F$2:$F$501,"비용"))</f>
        <v/>
      </c>
      <c r="U12" s="29" t="str">
        <f aca="false">IF($B12="","",S12-T12)</f>
        <v/>
      </c>
      <c r="V12" s="30" t="str">
        <f aca="false">IF(OR($B12="",S12=0),"",U12/S12)</f>
        <v/>
      </c>
    </row>
    <row r="13" customFormat="false" ht="15" hidden="false" customHeight="false" outlineLevel="0" collapsed="false">
      <c r="B13" s="27" t="str">
        <f aca="false">IF(프로젝트목록!B11="","",프로젝트목록!B11)</f>
        <v/>
      </c>
      <c r="C13" s="27" t="str">
        <f aca="false">IF(프로젝트목록!B11="","",프로젝트목록!C11)</f>
        <v/>
      </c>
      <c r="D13" s="28" t="str">
        <f aca="false">IF($B13="","",SUMIFS(거래내역!$H$2:$H$501,거래내역!$D$2:$D$501,$B13,거래내역!$C$2:$C$501,2026,거래내역!$F$2:$F$501,"수익"))</f>
        <v/>
      </c>
      <c r="E13" s="28" t="str">
        <f aca="false">IF($B13="","",SUMIFS(거래내역!$H$2:$H$501,거래내역!$D$2:$D$501,$B13,거래내역!$C$2:$C$501,2026,거래내역!$F$2:$F$501,"비용"))</f>
        <v/>
      </c>
      <c r="F13" s="29" t="str">
        <f aca="false">IF($B13="","",D13-E13)</f>
        <v/>
      </c>
      <c r="G13" s="28" t="str">
        <f aca="false">IF($B13="","",SUMIFS(거래내역!$H$2:$H$501,거래내역!$D$2:$D$501,$B13,거래내역!$C$2:$C$501,2027,거래내역!$F$2:$F$501,"수익"))</f>
        <v/>
      </c>
      <c r="H13" s="28" t="str">
        <f aca="false">IF($B13="","",SUMIFS(거래내역!$H$2:$H$501,거래내역!$D$2:$D$501,$B13,거래내역!$C$2:$C$501,2027,거래내역!$F$2:$F$501,"비용"))</f>
        <v/>
      </c>
      <c r="I13" s="29" t="str">
        <f aca="false">IF($B13="","",G13-H13)</f>
        <v/>
      </c>
      <c r="J13" s="28" t="str">
        <f aca="false">IF($B13="","",SUMIFS(거래내역!$H$2:$H$501,거래내역!$D$2:$D$501,$B13,거래내역!$C$2:$C$501,2028,거래내역!$F$2:$F$501,"수익"))</f>
        <v/>
      </c>
      <c r="K13" s="28" t="str">
        <f aca="false">IF($B13="","",SUMIFS(거래내역!$H$2:$H$501,거래내역!$D$2:$D$501,$B13,거래내역!$C$2:$C$501,2028,거래내역!$F$2:$F$501,"비용"))</f>
        <v/>
      </c>
      <c r="L13" s="29" t="str">
        <f aca="false">IF($B13="","",J13-K13)</f>
        <v/>
      </c>
      <c r="M13" s="28" t="str">
        <f aca="false">IF($B13="","",SUMIFS(거래내역!$H$2:$H$501,거래내역!$D$2:$D$501,$B13,거래내역!$C$2:$C$501,2029,거래내역!$F$2:$F$501,"수익"))</f>
        <v/>
      </c>
      <c r="N13" s="28" t="str">
        <f aca="false">IF($B13="","",SUMIFS(거래내역!$H$2:$H$501,거래내역!$D$2:$D$501,$B13,거래내역!$C$2:$C$501,2029,거래내역!$F$2:$F$501,"비용"))</f>
        <v/>
      </c>
      <c r="O13" s="29" t="str">
        <f aca="false">IF($B13="","",M13-N13)</f>
        <v/>
      </c>
      <c r="P13" s="28" t="str">
        <f aca="false">IF($B13="","",SUMIFS(거래내역!$H$2:$H$501,거래내역!$D$2:$D$501,$B13,거래내역!$C$2:$C$501,2030,거래내역!$F$2:$F$501,"수익"))</f>
        <v/>
      </c>
      <c r="Q13" s="28" t="str">
        <f aca="false">IF($B13="","",SUMIFS(거래내역!$H$2:$H$501,거래내역!$D$2:$D$501,$B13,거래내역!$C$2:$C$501,2030,거래내역!$F$2:$F$501,"비용"))</f>
        <v/>
      </c>
      <c r="R13" s="29" t="str">
        <f aca="false">IF($B13="","",P13-Q13)</f>
        <v/>
      </c>
      <c r="S13" s="28" t="str">
        <f aca="false">IF($B13="","",SUMIFS(거래내역!$H$2:$H$501,거래내역!$D$2:$D$501,$B13,거래내역!$F$2:$F$501,"수익"))</f>
        <v/>
      </c>
      <c r="T13" s="28" t="str">
        <f aca="false">IF($B13="","",SUMIFS(거래내역!$H$2:$H$501,거래내역!$D$2:$D$501,$B13,거래내역!$F$2:$F$501,"비용"))</f>
        <v/>
      </c>
      <c r="U13" s="29" t="str">
        <f aca="false">IF($B13="","",S13-T13)</f>
        <v/>
      </c>
      <c r="V13" s="30" t="str">
        <f aca="false">IF(OR($B13="",S13=0),"",U13/S13)</f>
        <v/>
      </c>
    </row>
    <row r="14" customFormat="false" ht="15" hidden="false" customHeight="false" outlineLevel="0" collapsed="false">
      <c r="B14" s="27" t="str">
        <f aca="false">IF(프로젝트목록!B12="","",프로젝트목록!B12)</f>
        <v/>
      </c>
      <c r="C14" s="27" t="str">
        <f aca="false">IF(프로젝트목록!B12="","",프로젝트목록!C12)</f>
        <v/>
      </c>
      <c r="D14" s="28" t="str">
        <f aca="false">IF($B14="","",SUMIFS(거래내역!$H$2:$H$501,거래내역!$D$2:$D$501,$B14,거래내역!$C$2:$C$501,2026,거래내역!$F$2:$F$501,"수익"))</f>
        <v/>
      </c>
      <c r="E14" s="28" t="str">
        <f aca="false">IF($B14="","",SUMIFS(거래내역!$H$2:$H$501,거래내역!$D$2:$D$501,$B14,거래내역!$C$2:$C$501,2026,거래내역!$F$2:$F$501,"비용"))</f>
        <v/>
      </c>
      <c r="F14" s="29" t="str">
        <f aca="false">IF($B14="","",D14-E14)</f>
        <v/>
      </c>
      <c r="G14" s="28" t="str">
        <f aca="false">IF($B14="","",SUMIFS(거래내역!$H$2:$H$501,거래내역!$D$2:$D$501,$B14,거래내역!$C$2:$C$501,2027,거래내역!$F$2:$F$501,"수익"))</f>
        <v/>
      </c>
      <c r="H14" s="28" t="str">
        <f aca="false">IF($B14="","",SUMIFS(거래내역!$H$2:$H$501,거래내역!$D$2:$D$501,$B14,거래내역!$C$2:$C$501,2027,거래내역!$F$2:$F$501,"비용"))</f>
        <v/>
      </c>
      <c r="I14" s="29" t="str">
        <f aca="false">IF($B14="","",G14-H14)</f>
        <v/>
      </c>
      <c r="J14" s="28" t="str">
        <f aca="false">IF($B14="","",SUMIFS(거래내역!$H$2:$H$501,거래내역!$D$2:$D$501,$B14,거래내역!$C$2:$C$501,2028,거래내역!$F$2:$F$501,"수익"))</f>
        <v/>
      </c>
      <c r="K14" s="28" t="str">
        <f aca="false">IF($B14="","",SUMIFS(거래내역!$H$2:$H$501,거래내역!$D$2:$D$501,$B14,거래내역!$C$2:$C$501,2028,거래내역!$F$2:$F$501,"비용"))</f>
        <v/>
      </c>
      <c r="L14" s="29" t="str">
        <f aca="false">IF($B14="","",J14-K14)</f>
        <v/>
      </c>
      <c r="M14" s="28" t="str">
        <f aca="false">IF($B14="","",SUMIFS(거래내역!$H$2:$H$501,거래내역!$D$2:$D$501,$B14,거래내역!$C$2:$C$501,2029,거래내역!$F$2:$F$501,"수익"))</f>
        <v/>
      </c>
      <c r="N14" s="28" t="str">
        <f aca="false">IF($B14="","",SUMIFS(거래내역!$H$2:$H$501,거래내역!$D$2:$D$501,$B14,거래내역!$C$2:$C$501,2029,거래내역!$F$2:$F$501,"비용"))</f>
        <v/>
      </c>
      <c r="O14" s="29" t="str">
        <f aca="false">IF($B14="","",M14-N14)</f>
        <v/>
      </c>
      <c r="P14" s="28" t="str">
        <f aca="false">IF($B14="","",SUMIFS(거래내역!$H$2:$H$501,거래내역!$D$2:$D$501,$B14,거래내역!$C$2:$C$501,2030,거래내역!$F$2:$F$501,"수익"))</f>
        <v/>
      </c>
      <c r="Q14" s="28" t="str">
        <f aca="false">IF($B14="","",SUMIFS(거래내역!$H$2:$H$501,거래내역!$D$2:$D$501,$B14,거래내역!$C$2:$C$501,2030,거래내역!$F$2:$F$501,"비용"))</f>
        <v/>
      </c>
      <c r="R14" s="29" t="str">
        <f aca="false">IF($B14="","",P14-Q14)</f>
        <v/>
      </c>
      <c r="S14" s="28" t="str">
        <f aca="false">IF($B14="","",SUMIFS(거래내역!$H$2:$H$501,거래내역!$D$2:$D$501,$B14,거래내역!$F$2:$F$501,"수익"))</f>
        <v/>
      </c>
      <c r="T14" s="28" t="str">
        <f aca="false">IF($B14="","",SUMIFS(거래내역!$H$2:$H$501,거래내역!$D$2:$D$501,$B14,거래내역!$F$2:$F$501,"비용"))</f>
        <v/>
      </c>
      <c r="U14" s="29" t="str">
        <f aca="false">IF($B14="","",S14-T14)</f>
        <v/>
      </c>
      <c r="V14" s="30" t="str">
        <f aca="false">IF(OR($B14="",S14=0),"",U14/S14)</f>
        <v/>
      </c>
    </row>
    <row r="15" customFormat="false" ht="15" hidden="false" customHeight="false" outlineLevel="0" collapsed="false">
      <c r="B15" s="27" t="str">
        <f aca="false">IF(프로젝트목록!B13="","",프로젝트목록!B13)</f>
        <v/>
      </c>
      <c r="C15" s="27" t="str">
        <f aca="false">IF(프로젝트목록!B13="","",프로젝트목록!C13)</f>
        <v/>
      </c>
      <c r="D15" s="28" t="str">
        <f aca="false">IF($B15="","",SUMIFS(거래내역!$H$2:$H$501,거래내역!$D$2:$D$501,$B15,거래내역!$C$2:$C$501,2026,거래내역!$F$2:$F$501,"수익"))</f>
        <v/>
      </c>
      <c r="E15" s="28" t="str">
        <f aca="false">IF($B15="","",SUMIFS(거래내역!$H$2:$H$501,거래내역!$D$2:$D$501,$B15,거래내역!$C$2:$C$501,2026,거래내역!$F$2:$F$501,"비용"))</f>
        <v/>
      </c>
      <c r="F15" s="29" t="str">
        <f aca="false">IF($B15="","",D15-E15)</f>
        <v/>
      </c>
      <c r="G15" s="28" t="str">
        <f aca="false">IF($B15="","",SUMIFS(거래내역!$H$2:$H$501,거래내역!$D$2:$D$501,$B15,거래내역!$C$2:$C$501,2027,거래내역!$F$2:$F$501,"수익"))</f>
        <v/>
      </c>
      <c r="H15" s="28" t="str">
        <f aca="false">IF($B15="","",SUMIFS(거래내역!$H$2:$H$501,거래내역!$D$2:$D$501,$B15,거래내역!$C$2:$C$501,2027,거래내역!$F$2:$F$501,"비용"))</f>
        <v/>
      </c>
      <c r="I15" s="29" t="str">
        <f aca="false">IF($B15="","",G15-H15)</f>
        <v/>
      </c>
      <c r="J15" s="28" t="str">
        <f aca="false">IF($B15="","",SUMIFS(거래내역!$H$2:$H$501,거래내역!$D$2:$D$501,$B15,거래내역!$C$2:$C$501,2028,거래내역!$F$2:$F$501,"수익"))</f>
        <v/>
      </c>
      <c r="K15" s="28" t="str">
        <f aca="false">IF($B15="","",SUMIFS(거래내역!$H$2:$H$501,거래내역!$D$2:$D$501,$B15,거래내역!$C$2:$C$501,2028,거래내역!$F$2:$F$501,"비용"))</f>
        <v/>
      </c>
      <c r="L15" s="29" t="str">
        <f aca="false">IF($B15="","",J15-K15)</f>
        <v/>
      </c>
      <c r="M15" s="28" t="str">
        <f aca="false">IF($B15="","",SUMIFS(거래내역!$H$2:$H$501,거래내역!$D$2:$D$501,$B15,거래내역!$C$2:$C$501,2029,거래내역!$F$2:$F$501,"수익"))</f>
        <v/>
      </c>
      <c r="N15" s="28" t="str">
        <f aca="false">IF($B15="","",SUMIFS(거래내역!$H$2:$H$501,거래내역!$D$2:$D$501,$B15,거래내역!$C$2:$C$501,2029,거래내역!$F$2:$F$501,"비용"))</f>
        <v/>
      </c>
      <c r="O15" s="29" t="str">
        <f aca="false">IF($B15="","",M15-N15)</f>
        <v/>
      </c>
      <c r="P15" s="28" t="str">
        <f aca="false">IF($B15="","",SUMIFS(거래내역!$H$2:$H$501,거래내역!$D$2:$D$501,$B15,거래내역!$C$2:$C$501,2030,거래내역!$F$2:$F$501,"수익"))</f>
        <v/>
      </c>
      <c r="Q15" s="28" t="str">
        <f aca="false">IF($B15="","",SUMIFS(거래내역!$H$2:$H$501,거래내역!$D$2:$D$501,$B15,거래내역!$C$2:$C$501,2030,거래내역!$F$2:$F$501,"비용"))</f>
        <v/>
      </c>
      <c r="R15" s="29" t="str">
        <f aca="false">IF($B15="","",P15-Q15)</f>
        <v/>
      </c>
      <c r="S15" s="28" t="str">
        <f aca="false">IF($B15="","",SUMIFS(거래내역!$H$2:$H$501,거래내역!$D$2:$D$501,$B15,거래내역!$F$2:$F$501,"수익"))</f>
        <v/>
      </c>
      <c r="T15" s="28" t="str">
        <f aca="false">IF($B15="","",SUMIFS(거래내역!$H$2:$H$501,거래내역!$D$2:$D$501,$B15,거래내역!$F$2:$F$501,"비용"))</f>
        <v/>
      </c>
      <c r="U15" s="29" t="str">
        <f aca="false">IF($B15="","",S15-T15)</f>
        <v/>
      </c>
      <c r="V15" s="30" t="str">
        <f aca="false">IF(OR($B15="",S15=0),"",U15/S15)</f>
        <v/>
      </c>
    </row>
    <row r="16" customFormat="false" ht="15" hidden="false" customHeight="false" outlineLevel="0" collapsed="false">
      <c r="B16" s="27" t="str">
        <f aca="false">IF(프로젝트목록!B14="","",프로젝트목록!B14)</f>
        <v/>
      </c>
      <c r="C16" s="27" t="str">
        <f aca="false">IF(프로젝트목록!B14="","",프로젝트목록!C14)</f>
        <v/>
      </c>
      <c r="D16" s="28" t="str">
        <f aca="false">IF($B16="","",SUMIFS(거래내역!$H$2:$H$501,거래내역!$D$2:$D$501,$B16,거래내역!$C$2:$C$501,2026,거래내역!$F$2:$F$501,"수익"))</f>
        <v/>
      </c>
      <c r="E16" s="28" t="str">
        <f aca="false">IF($B16="","",SUMIFS(거래내역!$H$2:$H$501,거래내역!$D$2:$D$501,$B16,거래내역!$C$2:$C$501,2026,거래내역!$F$2:$F$501,"비용"))</f>
        <v/>
      </c>
      <c r="F16" s="29" t="str">
        <f aca="false">IF($B16="","",D16-E16)</f>
        <v/>
      </c>
      <c r="G16" s="28" t="str">
        <f aca="false">IF($B16="","",SUMIFS(거래내역!$H$2:$H$501,거래내역!$D$2:$D$501,$B16,거래내역!$C$2:$C$501,2027,거래내역!$F$2:$F$501,"수익"))</f>
        <v/>
      </c>
      <c r="H16" s="28" t="str">
        <f aca="false">IF($B16="","",SUMIFS(거래내역!$H$2:$H$501,거래내역!$D$2:$D$501,$B16,거래내역!$C$2:$C$501,2027,거래내역!$F$2:$F$501,"비용"))</f>
        <v/>
      </c>
      <c r="I16" s="29" t="str">
        <f aca="false">IF($B16="","",G16-H16)</f>
        <v/>
      </c>
      <c r="J16" s="28" t="str">
        <f aca="false">IF($B16="","",SUMIFS(거래내역!$H$2:$H$501,거래내역!$D$2:$D$501,$B16,거래내역!$C$2:$C$501,2028,거래내역!$F$2:$F$501,"수익"))</f>
        <v/>
      </c>
      <c r="K16" s="28" t="str">
        <f aca="false">IF($B16="","",SUMIFS(거래내역!$H$2:$H$501,거래내역!$D$2:$D$501,$B16,거래내역!$C$2:$C$501,2028,거래내역!$F$2:$F$501,"비용"))</f>
        <v/>
      </c>
      <c r="L16" s="29" t="str">
        <f aca="false">IF($B16="","",J16-K16)</f>
        <v/>
      </c>
      <c r="M16" s="28" t="str">
        <f aca="false">IF($B16="","",SUMIFS(거래내역!$H$2:$H$501,거래내역!$D$2:$D$501,$B16,거래내역!$C$2:$C$501,2029,거래내역!$F$2:$F$501,"수익"))</f>
        <v/>
      </c>
      <c r="N16" s="28" t="str">
        <f aca="false">IF($B16="","",SUMIFS(거래내역!$H$2:$H$501,거래내역!$D$2:$D$501,$B16,거래내역!$C$2:$C$501,2029,거래내역!$F$2:$F$501,"비용"))</f>
        <v/>
      </c>
      <c r="O16" s="29" t="str">
        <f aca="false">IF($B16="","",M16-N16)</f>
        <v/>
      </c>
      <c r="P16" s="28" t="str">
        <f aca="false">IF($B16="","",SUMIFS(거래내역!$H$2:$H$501,거래내역!$D$2:$D$501,$B16,거래내역!$C$2:$C$501,2030,거래내역!$F$2:$F$501,"수익"))</f>
        <v/>
      </c>
      <c r="Q16" s="28" t="str">
        <f aca="false">IF($B16="","",SUMIFS(거래내역!$H$2:$H$501,거래내역!$D$2:$D$501,$B16,거래내역!$C$2:$C$501,2030,거래내역!$F$2:$F$501,"비용"))</f>
        <v/>
      </c>
      <c r="R16" s="29" t="str">
        <f aca="false">IF($B16="","",P16-Q16)</f>
        <v/>
      </c>
      <c r="S16" s="28" t="str">
        <f aca="false">IF($B16="","",SUMIFS(거래내역!$H$2:$H$501,거래내역!$D$2:$D$501,$B16,거래내역!$F$2:$F$501,"수익"))</f>
        <v/>
      </c>
      <c r="T16" s="28" t="str">
        <f aca="false">IF($B16="","",SUMIFS(거래내역!$H$2:$H$501,거래내역!$D$2:$D$501,$B16,거래내역!$F$2:$F$501,"비용"))</f>
        <v/>
      </c>
      <c r="U16" s="29" t="str">
        <f aca="false">IF($B16="","",S16-T16)</f>
        <v/>
      </c>
      <c r="V16" s="30" t="str">
        <f aca="false">IF(OR($B16="",S16=0),"",U16/S16)</f>
        <v/>
      </c>
    </row>
    <row r="17" customFormat="false" ht="15" hidden="false" customHeight="false" outlineLevel="0" collapsed="false">
      <c r="B17" s="27" t="str">
        <f aca="false">IF(프로젝트목록!B15="","",프로젝트목록!B15)</f>
        <v/>
      </c>
      <c r="C17" s="27" t="str">
        <f aca="false">IF(프로젝트목록!B15="","",프로젝트목록!C15)</f>
        <v/>
      </c>
      <c r="D17" s="28" t="str">
        <f aca="false">IF($B17="","",SUMIFS(거래내역!$H$2:$H$501,거래내역!$D$2:$D$501,$B17,거래내역!$C$2:$C$501,2026,거래내역!$F$2:$F$501,"수익"))</f>
        <v/>
      </c>
      <c r="E17" s="28" t="str">
        <f aca="false">IF($B17="","",SUMIFS(거래내역!$H$2:$H$501,거래내역!$D$2:$D$501,$B17,거래내역!$C$2:$C$501,2026,거래내역!$F$2:$F$501,"비용"))</f>
        <v/>
      </c>
      <c r="F17" s="29" t="str">
        <f aca="false">IF($B17="","",D17-E17)</f>
        <v/>
      </c>
      <c r="G17" s="28" t="str">
        <f aca="false">IF($B17="","",SUMIFS(거래내역!$H$2:$H$501,거래내역!$D$2:$D$501,$B17,거래내역!$C$2:$C$501,2027,거래내역!$F$2:$F$501,"수익"))</f>
        <v/>
      </c>
      <c r="H17" s="28" t="str">
        <f aca="false">IF($B17="","",SUMIFS(거래내역!$H$2:$H$501,거래내역!$D$2:$D$501,$B17,거래내역!$C$2:$C$501,2027,거래내역!$F$2:$F$501,"비용"))</f>
        <v/>
      </c>
      <c r="I17" s="29" t="str">
        <f aca="false">IF($B17="","",G17-H17)</f>
        <v/>
      </c>
      <c r="J17" s="28" t="str">
        <f aca="false">IF($B17="","",SUMIFS(거래내역!$H$2:$H$501,거래내역!$D$2:$D$501,$B17,거래내역!$C$2:$C$501,2028,거래내역!$F$2:$F$501,"수익"))</f>
        <v/>
      </c>
      <c r="K17" s="28" t="str">
        <f aca="false">IF($B17="","",SUMIFS(거래내역!$H$2:$H$501,거래내역!$D$2:$D$501,$B17,거래내역!$C$2:$C$501,2028,거래내역!$F$2:$F$501,"비용"))</f>
        <v/>
      </c>
      <c r="L17" s="29" t="str">
        <f aca="false">IF($B17="","",J17-K17)</f>
        <v/>
      </c>
      <c r="M17" s="28" t="str">
        <f aca="false">IF($B17="","",SUMIFS(거래내역!$H$2:$H$501,거래내역!$D$2:$D$501,$B17,거래내역!$C$2:$C$501,2029,거래내역!$F$2:$F$501,"수익"))</f>
        <v/>
      </c>
      <c r="N17" s="28" t="str">
        <f aca="false">IF($B17="","",SUMIFS(거래내역!$H$2:$H$501,거래내역!$D$2:$D$501,$B17,거래내역!$C$2:$C$501,2029,거래내역!$F$2:$F$501,"비용"))</f>
        <v/>
      </c>
      <c r="O17" s="29" t="str">
        <f aca="false">IF($B17="","",M17-N17)</f>
        <v/>
      </c>
      <c r="P17" s="28" t="str">
        <f aca="false">IF($B17="","",SUMIFS(거래내역!$H$2:$H$501,거래내역!$D$2:$D$501,$B17,거래내역!$C$2:$C$501,2030,거래내역!$F$2:$F$501,"수익"))</f>
        <v/>
      </c>
      <c r="Q17" s="28" t="str">
        <f aca="false">IF($B17="","",SUMIFS(거래내역!$H$2:$H$501,거래내역!$D$2:$D$501,$B17,거래내역!$C$2:$C$501,2030,거래내역!$F$2:$F$501,"비용"))</f>
        <v/>
      </c>
      <c r="R17" s="29" t="str">
        <f aca="false">IF($B17="","",P17-Q17)</f>
        <v/>
      </c>
      <c r="S17" s="28" t="str">
        <f aca="false">IF($B17="","",SUMIFS(거래내역!$H$2:$H$501,거래내역!$D$2:$D$501,$B17,거래내역!$F$2:$F$501,"수익"))</f>
        <v/>
      </c>
      <c r="T17" s="28" t="str">
        <f aca="false">IF($B17="","",SUMIFS(거래내역!$H$2:$H$501,거래내역!$D$2:$D$501,$B17,거래내역!$F$2:$F$501,"비용"))</f>
        <v/>
      </c>
      <c r="U17" s="29" t="str">
        <f aca="false">IF($B17="","",S17-T17)</f>
        <v/>
      </c>
      <c r="V17" s="30" t="str">
        <f aca="false">IF(OR($B17="",S17=0),"",U17/S17)</f>
        <v/>
      </c>
    </row>
    <row r="18" customFormat="false" ht="15" hidden="false" customHeight="false" outlineLevel="0" collapsed="false">
      <c r="B18" s="27" t="str">
        <f aca="false">IF(프로젝트목록!B16="","",프로젝트목록!B16)</f>
        <v/>
      </c>
      <c r="C18" s="27" t="str">
        <f aca="false">IF(프로젝트목록!B16="","",프로젝트목록!C16)</f>
        <v/>
      </c>
      <c r="D18" s="28" t="str">
        <f aca="false">IF($B18="","",SUMIFS(거래내역!$H$2:$H$501,거래내역!$D$2:$D$501,$B18,거래내역!$C$2:$C$501,2026,거래내역!$F$2:$F$501,"수익"))</f>
        <v/>
      </c>
      <c r="E18" s="28" t="str">
        <f aca="false">IF($B18="","",SUMIFS(거래내역!$H$2:$H$501,거래내역!$D$2:$D$501,$B18,거래내역!$C$2:$C$501,2026,거래내역!$F$2:$F$501,"비용"))</f>
        <v/>
      </c>
      <c r="F18" s="29" t="str">
        <f aca="false">IF($B18="","",D18-E18)</f>
        <v/>
      </c>
      <c r="G18" s="28" t="str">
        <f aca="false">IF($B18="","",SUMIFS(거래내역!$H$2:$H$501,거래내역!$D$2:$D$501,$B18,거래내역!$C$2:$C$501,2027,거래내역!$F$2:$F$501,"수익"))</f>
        <v/>
      </c>
      <c r="H18" s="28" t="str">
        <f aca="false">IF($B18="","",SUMIFS(거래내역!$H$2:$H$501,거래내역!$D$2:$D$501,$B18,거래내역!$C$2:$C$501,2027,거래내역!$F$2:$F$501,"비용"))</f>
        <v/>
      </c>
      <c r="I18" s="29" t="str">
        <f aca="false">IF($B18="","",G18-H18)</f>
        <v/>
      </c>
      <c r="J18" s="28" t="str">
        <f aca="false">IF($B18="","",SUMIFS(거래내역!$H$2:$H$501,거래내역!$D$2:$D$501,$B18,거래내역!$C$2:$C$501,2028,거래내역!$F$2:$F$501,"수익"))</f>
        <v/>
      </c>
      <c r="K18" s="28" t="str">
        <f aca="false">IF($B18="","",SUMIFS(거래내역!$H$2:$H$501,거래내역!$D$2:$D$501,$B18,거래내역!$C$2:$C$501,2028,거래내역!$F$2:$F$501,"비용"))</f>
        <v/>
      </c>
      <c r="L18" s="29" t="str">
        <f aca="false">IF($B18="","",J18-K18)</f>
        <v/>
      </c>
      <c r="M18" s="28" t="str">
        <f aca="false">IF($B18="","",SUMIFS(거래내역!$H$2:$H$501,거래내역!$D$2:$D$501,$B18,거래내역!$C$2:$C$501,2029,거래내역!$F$2:$F$501,"수익"))</f>
        <v/>
      </c>
      <c r="N18" s="28" t="str">
        <f aca="false">IF($B18="","",SUMIFS(거래내역!$H$2:$H$501,거래내역!$D$2:$D$501,$B18,거래내역!$C$2:$C$501,2029,거래내역!$F$2:$F$501,"비용"))</f>
        <v/>
      </c>
      <c r="O18" s="29" t="str">
        <f aca="false">IF($B18="","",M18-N18)</f>
        <v/>
      </c>
      <c r="P18" s="28" t="str">
        <f aca="false">IF($B18="","",SUMIFS(거래내역!$H$2:$H$501,거래내역!$D$2:$D$501,$B18,거래내역!$C$2:$C$501,2030,거래내역!$F$2:$F$501,"수익"))</f>
        <v/>
      </c>
      <c r="Q18" s="28" t="str">
        <f aca="false">IF($B18="","",SUMIFS(거래내역!$H$2:$H$501,거래내역!$D$2:$D$501,$B18,거래내역!$C$2:$C$501,2030,거래내역!$F$2:$F$501,"비용"))</f>
        <v/>
      </c>
      <c r="R18" s="29" t="str">
        <f aca="false">IF($B18="","",P18-Q18)</f>
        <v/>
      </c>
      <c r="S18" s="28" t="str">
        <f aca="false">IF($B18="","",SUMIFS(거래내역!$H$2:$H$501,거래내역!$D$2:$D$501,$B18,거래내역!$F$2:$F$501,"수익"))</f>
        <v/>
      </c>
      <c r="T18" s="28" t="str">
        <f aca="false">IF($B18="","",SUMIFS(거래내역!$H$2:$H$501,거래내역!$D$2:$D$501,$B18,거래내역!$F$2:$F$501,"비용"))</f>
        <v/>
      </c>
      <c r="U18" s="29" t="str">
        <f aca="false">IF($B18="","",S18-T18)</f>
        <v/>
      </c>
      <c r="V18" s="30" t="str">
        <f aca="false">IF(OR($B18="",S18=0),"",U18/S18)</f>
        <v/>
      </c>
    </row>
    <row r="19" customFormat="false" ht="15" hidden="false" customHeight="false" outlineLevel="0" collapsed="false">
      <c r="B19" s="27" t="str">
        <f aca="false">IF(프로젝트목록!B17="","",프로젝트목록!B17)</f>
        <v/>
      </c>
      <c r="C19" s="27" t="str">
        <f aca="false">IF(프로젝트목록!B17="","",프로젝트목록!C17)</f>
        <v/>
      </c>
      <c r="D19" s="28" t="str">
        <f aca="false">IF($B19="","",SUMIFS(거래내역!$H$2:$H$501,거래내역!$D$2:$D$501,$B19,거래내역!$C$2:$C$501,2026,거래내역!$F$2:$F$501,"수익"))</f>
        <v/>
      </c>
      <c r="E19" s="28" t="str">
        <f aca="false">IF($B19="","",SUMIFS(거래내역!$H$2:$H$501,거래내역!$D$2:$D$501,$B19,거래내역!$C$2:$C$501,2026,거래내역!$F$2:$F$501,"비용"))</f>
        <v/>
      </c>
      <c r="F19" s="29" t="str">
        <f aca="false">IF($B19="","",D19-E19)</f>
        <v/>
      </c>
      <c r="G19" s="28" t="str">
        <f aca="false">IF($B19="","",SUMIFS(거래내역!$H$2:$H$501,거래내역!$D$2:$D$501,$B19,거래내역!$C$2:$C$501,2027,거래내역!$F$2:$F$501,"수익"))</f>
        <v/>
      </c>
      <c r="H19" s="28" t="str">
        <f aca="false">IF($B19="","",SUMIFS(거래내역!$H$2:$H$501,거래내역!$D$2:$D$501,$B19,거래내역!$C$2:$C$501,2027,거래내역!$F$2:$F$501,"비용"))</f>
        <v/>
      </c>
      <c r="I19" s="29" t="str">
        <f aca="false">IF($B19="","",G19-H19)</f>
        <v/>
      </c>
      <c r="J19" s="28" t="str">
        <f aca="false">IF($B19="","",SUMIFS(거래내역!$H$2:$H$501,거래내역!$D$2:$D$501,$B19,거래내역!$C$2:$C$501,2028,거래내역!$F$2:$F$501,"수익"))</f>
        <v/>
      </c>
      <c r="K19" s="28" t="str">
        <f aca="false">IF($B19="","",SUMIFS(거래내역!$H$2:$H$501,거래내역!$D$2:$D$501,$B19,거래내역!$C$2:$C$501,2028,거래내역!$F$2:$F$501,"비용"))</f>
        <v/>
      </c>
      <c r="L19" s="29" t="str">
        <f aca="false">IF($B19="","",J19-K19)</f>
        <v/>
      </c>
      <c r="M19" s="28" t="str">
        <f aca="false">IF($B19="","",SUMIFS(거래내역!$H$2:$H$501,거래내역!$D$2:$D$501,$B19,거래내역!$C$2:$C$501,2029,거래내역!$F$2:$F$501,"수익"))</f>
        <v/>
      </c>
      <c r="N19" s="28" t="str">
        <f aca="false">IF($B19="","",SUMIFS(거래내역!$H$2:$H$501,거래내역!$D$2:$D$501,$B19,거래내역!$C$2:$C$501,2029,거래내역!$F$2:$F$501,"비용"))</f>
        <v/>
      </c>
      <c r="O19" s="29" t="str">
        <f aca="false">IF($B19="","",M19-N19)</f>
        <v/>
      </c>
      <c r="P19" s="28" t="str">
        <f aca="false">IF($B19="","",SUMIFS(거래내역!$H$2:$H$501,거래내역!$D$2:$D$501,$B19,거래내역!$C$2:$C$501,2030,거래내역!$F$2:$F$501,"수익"))</f>
        <v/>
      </c>
      <c r="Q19" s="28" t="str">
        <f aca="false">IF($B19="","",SUMIFS(거래내역!$H$2:$H$501,거래내역!$D$2:$D$501,$B19,거래내역!$C$2:$C$501,2030,거래내역!$F$2:$F$501,"비용"))</f>
        <v/>
      </c>
      <c r="R19" s="29" t="str">
        <f aca="false">IF($B19="","",P19-Q19)</f>
        <v/>
      </c>
      <c r="S19" s="28" t="str">
        <f aca="false">IF($B19="","",SUMIFS(거래내역!$H$2:$H$501,거래내역!$D$2:$D$501,$B19,거래내역!$F$2:$F$501,"수익"))</f>
        <v/>
      </c>
      <c r="T19" s="28" t="str">
        <f aca="false">IF($B19="","",SUMIFS(거래내역!$H$2:$H$501,거래내역!$D$2:$D$501,$B19,거래내역!$F$2:$F$501,"비용"))</f>
        <v/>
      </c>
      <c r="U19" s="29" t="str">
        <f aca="false">IF($B19="","",S19-T19)</f>
        <v/>
      </c>
      <c r="V19" s="30" t="str">
        <f aca="false">IF(OR($B19="",S19=0),"",U19/S19)</f>
        <v/>
      </c>
    </row>
    <row r="20" customFormat="false" ht="15" hidden="false" customHeight="false" outlineLevel="0" collapsed="false">
      <c r="B20" s="27" t="str">
        <f aca="false">IF(프로젝트목록!B18="","",프로젝트목록!B18)</f>
        <v/>
      </c>
      <c r="C20" s="27" t="str">
        <f aca="false">IF(프로젝트목록!B18="","",프로젝트목록!C18)</f>
        <v/>
      </c>
      <c r="D20" s="28" t="str">
        <f aca="false">IF($B20="","",SUMIFS(거래내역!$H$2:$H$501,거래내역!$D$2:$D$501,$B20,거래내역!$C$2:$C$501,2026,거래내역!$F$2:$F$501,"수익"))</f>
        <v/>
      </c>
      <c r="E20" s="28" t="str">
        <f aca="false">IF($B20="","",SUMIFS(거래내역!$H$2:$H$501,거래내역!$D$2:$D$501,$B20,거래내역!$C$2:$C$501,2026,거래내역!$F$2:$F$501,"비용"))</f>
        <v/>
      </c>
      <c r="F20" s="29" t="str">
        <f aca="false">IF($B20="","",D20-E20)</f>
        <v/>
      </c>
      <c r="G20" s="28" t="str">
        <f aca="false">IF($B20="","",SUMIFS(거래내역!$H$2:$H$501,거래내역!$D$2:$D$501,$B20,거래내역!$C$2:$C$501,2027,거래내역!$F$2:$F$501,"수익"))</f>
        <v/>
      </c>
      <c r="H20" s="28" t="str">
        <f aca="false">IF($B20="","",SUMIFS(거래내역!$H$2:$H$501,거래내역!$D$2:$D$501,$B20,거래내역!$C$2:$C$501,2027,거래내역!$F$2:$F$501,"비용"))</f>
        <v/>
      </c>
      <c r="I20" s="29" t="str">
        <f aca="false">IF($B20="","",G20-H20)</f>
        <v/>
      </c>
      <c r="J20" s="28" t="str">
        <f aca="false">IF($B20="","",SUMIFS(거래내역!$H$2:$H$501,거래내역!$D$2:$D$501,$B20,거래내역!$C$2:$C$501,2028,거래내역!$F$2:$F$501,"수익"))</f>
        <v/>
      </c>
      <c r="K20" s="28" t="str">
        <f aca="false">IF($B20="","",SUMIFS(거래내역!$H$2:$H$501,거래내역!$D$2:$D$501,$B20,거래내역!$C$2:$C$501,2028,거래내역!$F$2:$F$501,"비용"))</f>
        <v/>
      </c>
      <c r="L20" s="29" t="str">
        <f aca="false">IF($B20="","",J20-K20)</f>
        <v/>
      </c>
      <c r="M20" s="28" t="str">
        <f aca="false">IF($B20="","",SUMIFS(거래내역!$H$2:$H$501,거래내역!$D$2:$D$501,$B20,거래내역!$C$2:$C$501,2029,거래내역!$F$2:$F$501,"수익"))</f>
        <v/>
      </c>
      <c r="N20" s="28" t="str">
        <f aca="false">IF($B20="","",SUMIFS(거래내역!$H$2:$H$501,거래내역!$D$2:$D$501,$B20,거래내역!$C$2:$C$501,2029,거래내역!$F$2:$F$501,"비용"))</f>
        <v/>
      </c>
      <c r="O20" s="29" t="str">
        <f aca="false">IF($B20="","",M20-N20)</f>
        <v/>
      </c>
      <c r="P20" s="28" t="str">
        <f aca="false">IF($B20="","",SUMIFS(거래내역!$H$2:$H$501,거래내역!$D$2:$D$501,$B20,거래내역!$C$2:$C$501,2030,거래내역!$F$2:$F$501,"수익"))</f>
        <v/>
      </c>
      <c r="Q20" s="28" t="str">
        <f aca="false">IF($B20="","",SUMIFS(거래내역!$H$2:$H$501,거래내역!$D$2:$D$501,$B20,거래내역!$C$2:$C$501,2030,거래내역!$F$2:$F$501,"비용"))</f>
        <v/>
      </c>
      <c r="R20" s="29" t="str">
        <f aca="false">IF($B20="","",P20-Q20)</f>
        <v/>
      </c>
      <c r="S20" s="28" t="str">
        <f aca="false">IF($B20="","",SUMIFS(거래내역!$H$2:$H$501,거래내역!$D$2:$D$501,$B20,거래내역!$F$2:$F$501,"수익"))</f>
        <v/>
      </c>
      <c r="T20" s="28" t="str">
        <f aca="false">IF($B20="","",SUMIFS(거래내역!$H$2:$H$501,거래내역!$D$2:$D$501,$B20,거래내역!$F$2:$F$501,"비용"))</f>
        <v/>
      </c>
      <c r="U20" s="29" t="str">
        <f aca="false">IF($B20="","",S20-T20)</f>
        <v/>
      </c>
      <c r="V20" s="30" t="str">
        <f aca="false">IF(OR($B20="",S20=0),"",U20/S20)</f>
        <v/>
      </c>
    </row>
    <row r="21" customFormat="false" ht="15" hidden="false" customHeight="false" outlineLevel="0" collapsed="false">
      <c r="B21" s="27" t="str">
        <f aca="false">IF(프로젝트목록!B19="","",프로젝트목록!B19)</f>
        <v/>
      </c>
      <c r="C21" s="27" t="str">
        <f aca="false">IF(프로젝트목록!B19="","",프로젝트목록!C19)</f>
        <v/>
      </c>
      <c r="D21" s="28" t="str">
        <f aca="false">IF($B21="","",SUMIFS(거래내역!$H$2:$H$501,거래내역!$D$2:$D$501,$B21,거래내역!$C$2:$C$501,2026,거래내역!$F$2:$F$501,"수익"))</f>
        <v/>
      </c>
      <c r="E21" s="28" t="str">
        <f aca="false">IF($B21="","",SUMIFS(거래내역!$H$2:$H$501,거래내역!$D$2:$D$501,$B21,거래내역!$C$2:$C$501,2026,거래내역!$F$2:$F$501,"비용"))</f>
        <v/>
      </c>
      <c r="F21" s="29" t="str">
        <f aca="false">IF($B21="","",D21-E21)</f>
        <v/>
      </c>
      <c r="G21" s="28" t="str">
        <f aca="false">IF($B21="","",SUMIFS(거래내역!$H$2:$H$501,거래내역!$D$2:$D$501,$B21,거래내역!$C$2:$C$501,2027,거래내역!$F$2:$F$501,"수익"))</f>
        <v/>
      </c>
      <c r="H21" s="28" t="str">
        <f aca="false">IF($B21="","",SUMIFS(거래내역!$H$2:$H$501,거래내역!$D$2:$D$501,$B21,거래내역!$C$2:$C$501,2027,거래내역!$F$2:$F$501,"비용"))</f>
        <v/>
      </c>
      <c r="I21" s="29" t="str">
        <f aca="false">IF($B21="","",G21-H21)</f>
        <v/>
      </c>
      <c r="J21" s="28" t="str">
        <f aca="false">IF($B21="","",SUMIFS(거래내역!$H$2:$H$501,거래내역!$D$2:$D$501,$B21,거래내역!$C$2:$C$501,2028,거래내역!$F$2:$F$501,"수익"))</f>
        <v/>
      </c>
      <c r="K21" s="28" t="str">
        <f aca="false">IF($B21="","",SUMIFS(거래내역!$H$2:$H$501,거래내역!$D$2:$D$501,$B21,거래내역!$C$2:$C$501,2028,거래내역!$F$2:$F$501,"비용"))</f>
        <v/>
      </c>
      <c r="L21" s="29" t="str">
        <f aca="false">IF($B21="","",J21-K21)</f>
        <v/>
      </c>
      <c r="M21" s="28" t="str">
        <f aca="false">IF($B21="","",SUMIFS(거래내역!$H$2:$H$501,거래내역!$D$2:$D$501,$B21,거래내역!$C$2:$C$501,2029,거래내역!$F$2:$F$501,"수익"))</f>
        <v/>
      </c>
      <c r="N21" s="28" t="str">
        <f aca="false">IF($B21="","",SUMIFS(거래내역!$H$2:$H$501,거래내역!$D$2:$D$501,$B21,거래내역!$C$2:$C$501,2029,거래내역!$F$2:$F$501,"비용"))</f>
        <v/>
      </c>
      <c r="O21" s="29" t="str">
        <f aca="false">IF($B21="","",M21-N21)</f>
        <v/>
      </c>
      <c r="P21" s="28" t="str">
        <f aca="false">IF($B21="","",SUMIFS(거래내역!$H$2:$H$501,거래내역!$D$2:$D$501,$B21,거래내역!$C$2:$C$501,2030,거래내역!$F$2:$F$501,"수익"))</f>
        <v/>
      </c>
      <c r="Q21" s="28" t="str">
        <f aca="false">IF($B21="","",SUMIFS(거래내역!$H$2:$H$501,거래내역!$D$2:$D$501,$B21,거래내역!$C$2:$C$501,2030,거래내역!$F$2:$F$501,"비용"))</f>
        <v/>
      </c>
      <c r="R21" s="29" t="str">
        <f aca="false">IF($B21="","",P21-Q21)</f>
        <v/>
      </c>
      <c r="S21" s="28" t="str">
        <f aca="false">IF($B21="","",SUMIFS(거래내역!$H$2:$H$501,거래내역!$D$2:$D$501,$B21,거래내역!$F$2:$F$501,"수익"))</f>
        <v/>
      </c>
      <c r="T21" s="28" t="str">
        <f aca="false">IF($B21="","",SUMIFS(거래내역!$H$2:$H$501,거래내역!$D$2:$D$501,$B21,거래내역!$F$2:$F$501,"비용"))</f>
        <v/>
      </c>
      <c r="U21" s="29" t="str">
        <f aca="false">IF($B21="","",S21-T21)</f>
        <v/>
      </c>
      <c r="V21" s="30" t="str">
        <f aca="false">IF(OR($B21="",S21=0),"",U21/S21)</f>
        <v/>
      </c>
    </row>
    <row r="22" customFormat="false" ht="15" hidden="false" customHeight="false" outlineLevel="0" collapsed="false">
      <c r="B22" s="27" t="str">
        <f aca="false">IF(프로젝트목록!B20="","",프로젝트목록!B20)</f>
        <v/>
      </c>
      <c r="C22" s="27" t="str">
        <f aca="false">IF(프로젝트목록!B20="","",프로젝트목록!C20)</f>
        <v/>
      </c>
      <c r="D22" s="28" t="str">
        <f aca="false">IF($B22="","",SUMIFS(거래내역!$H$2:$H$501,거래내역!$D$2:$D$501,$B22,거래내역!$C$2:$C$501,2026,거래내역!$F$2:$F$501,"수익"))</f>
        <v/>
      </c>
      <c r="E22" s="28" t="str">
        <f aca="false">IF($B22="","",SUMIFS(거래내역!$H$2:$H$501,거래내역!$D$2:$D$501,$B22,거래내역!$C$2:$C$501,2026,거래내역!$F$2:$F$501,"비용"))</f>
        <v/>
      </c>
      <c r="F22" s="29" t="str">
        <f aca="false">IF($B22="","",D22-E22)</f>
        <v/>
      </c>
      <c r="G22" s="28" t="str">
        <f aca="false">IF($B22="","",SUMIFS(거래내역!$H$2:$H$501,거래내역!$D$2:$D$501,$B22,거래내역!$C$2:$C$501,2027,거래내역!$F$2:$F$501,"수익"))</f>
        <v/>
      </c>
      <c r="H22" s="28" t="str">
        <f aca="false">IF($B22="","",SUMIFS(거래내역!$H$2:$H$501,거래내역!$D$2:$D$501,$B22,거래내역!$C$2:$C$501,2027,거래내역!$F$2:$F$501,"비용"))</f>
        <v/>
      </c>
      <c r="I22" s="29" t="str">
        <f aca="false">IF($B22="","",G22-H22)</f>
        <v/>
      </c>
      <c r="J22" s="28" t="str">
        <f aca="false">IF($B22="","",SUMIFS(거래내역!$H$2:$H$501,거래내역!$D$2:$D$501,$B22,거래내역!$C$2:$C$501,2028,거래내역!$F$2:$F$501,"수익"))</f>
        <v/>
      </c>
      <c r="K22" s="28" t="str">
        <f aca="false">IF($B22="","",SUMIFS(거래내역!$H$2:$H$501,거래내역!$D$2:$D$501,$B22,거래내역!$C$2:$C$501,2028,거래내역!$F$2:$F$501,"비용"))</f>
        <v/>
      </c>
      <c r="L22" s="29" t="str">
        <f aca="false">IF($B22="","",J22-K22)</f>
        <v/>
      </c>
      <c r="M22" s="28" t="str">
        <f aca="false">IF($B22="","",SUMIFS(거래내역!$H$2:$H$501,거래내역!$D$2:$D$501,$B22,거래내역!$C$2:$C$501,2029,거래내역!$F$2:$F$501,"수익"))</f>
        <v/>
      </c>
      <c r="N22" s="28" t="str">
        <f aca="false">IF($B22="","",SUMIFS(거래내역!$H$2:$H$501,거래내역!$D$2:$D$501,$B22,거래내역!$C$2:$C$501,2029,거래내역!$F$2:$F$501,"비용"))</f>
        <v/>
      </c>
      <c r="O22" s="29" t="str">
        <f aca="false">IF($B22="","",M22-N22)</f>
        <v/>
      </c>
      <c r="P22" s="28" t="str">
        <f aca="false">IF($B22="","",SUMIFS(거래내역!$H$2:$H$501,거래내역!$D$2:$D$501,$B22,거래내역!$C$2:$C$501,2030,거래내역!$F$2:$F$501,"수익"))</f>
        <v/>
      </c>
      <c r="Q22" s="28" t="str">
        <f aca="false">IF($B22="","",SUMIFS(거래내역!$H$2:$H$501,거래내역!$D$2:$D$501,$B22,거래내역!$C$2:$C$501,2030,거래내역!$F$2:$F$501,"비용"))</f>
        <v/>
      </c>
      <c r="R22" s="29" t="str">
        <f aca="false">IF($B22="","",P22-Q22)</f>
        <v/>
      </c>
      <c r="S22" s="28" t="str">
        <f aca="false">IF($B22="","",SUMIFS(거래내역!$H$2:$H$501,거래내역!$D$2:$D$501,$B22,거래내역!$F$2:$F$501,"수익"))</f>
        <v/>
      </c>
      <c r="T22" s="28" t="str">
        <f aca="false">IF($B22="","",SUMIFS(거래내역!$H$2:$H$501,거래내역!$D$2:$D$501,$B22,거래내역!$F$2:$F$501,"비용"))</f>
        <v/>
      </c>
      <c r="U22" s="29" t="str">
        <f aca="false">IF($B22="","",S22-T22)</f>
        <v/>
      </c>
      <c r="V22" s="30" t="str">
        <f aca="false">IF(OR($B22="",S22=0),"",U22/S22)</f>
        <v/>
      </c>
    </row>
    <row r="23" customFormat="false" ht="15" hidden="false" customHeight="false" outlineLevel="0" collapsed="false">
      <c r="B23" s="27" t="str">
        <f aca="false">IF(프로젝트목록!B21="","",프로젝트목록!B21)</f>
        <v/>
      </c>
      <c r="C23" s="27" t="str">
        <f aca="false">IF(프로젝트목록!B21="","",프로젝트목록!C21)</f>
        <v/>
      </c>
      <c r="D23" s="28" t="str">
        <f aca="false">IF($B23="","",SUMIFS(거래내역!$H$2:$H$501,거래내역!$D$2:$D$501,$B23,거래내역!$C$2:$C$501,2026,거래내역!$F$2:$F$501,"수익"))</f>
        <v/>
      </c>
      <c r="E23" s="28" t="str">
        <f aca="false">IF($B23="","",SUMIFS(거래내역!$H$2:$H$501,거래내역!$D$2:$D$501,$B23,거래내역!$C$2:$C$501,2026,거래내역!$F$2:$F$501,"비용"))</f>
        <v/>
      </c>
      <c r="F23" s="29" t="str">
        <f aca="false">IF($B23="","",D23-E23)</f>
        <v/>
      </c>
      <c r="G23" s="28" t="str">
        <f aca="false">IF($B23="","",SUMIFS(거래내역!$H$2:$H$501,거래내역!$D$2:$D$501,$B23,거래내역!$C$2:$C$501,2027,거래내역!$F$2:$F$501,"수익"))</f>
        <v/>
      </c>
      <c r="H23" s="28" t="str">
        <f aca="false">IF($B23="","",SUMIFS(거래내역!$H$2:$H$501,거래내역!$D$2:$D$501,$B23,거래내역!$C$2:$C$501,2027,거래내역!$F$2:$F$501,"비용"))</f>
        <v/>
      </c>
      <c r="I23" s="29" t="str">
        <f aca="false">IF($B23="","",G23-H23)</f>
        <v/>
      </c>
      <c r="J23" s="28" t="str">
        <f aca="false">IF($B23="","",SUMIFS(거래내역!$H$2:$H$501,거래내역!$D$2:$D$501,$B23,거래내역!$C$2:$C$501,2028,거래내역!$F$2:$F$501,"수익"))</f>
        <v/>
      </c>
      <c r="K23" s="28" t="str">
        <f aca="false">IF($B23="","",SUMIFS(거래내역!$H$2:$H$501,거래내역!$D$2:$D$501,$B23,거래내역!$C$2:$C$501,2028,거래내역!$F$2:$F$501,"비용"))</f>
        <v/>
      </c>
      <c r="L23" s="29" t="str">
        <f aca="false">IF($B23="","",J23-K23)</f>
        <v/>
      </c>
      <c r="M23" s="28" t="str">
        <f aca="false">IF($B23="","",SUMIFS(거래내역!$H$2:$H$501,거래내역!$D$2:$D$501,$B23,거래내역!$C$2:$C$501,2029,거래내역!$F$2:$F$501,"수익"))</f>
        <v/>
      </c>
      <c r="N23" s="28" t="str">
        <f aca="false">IF($B23="","",SUMIFS(거래내역!$H$2:$H$501,거래내역!$D$2:$D$501,$B23,거래내역!$C$2:$C$501,2029,거래내역!$F$2:$F$501,"비용"))</f>
        <v/>
      </c>
      <c r="O23" s="29" t="str">
        <f aca="false">IF($B23="","",M23-N23)</f>
        <v/>
      </c>
      <c r="P23" s="28" t="str">
        <f aca="false">IF($B23="","",SUMIFS(거래내역!$H$2:$H$501,거래내역!$D$2:$D$501,$B23,거래내역!$C$2:$C$501,2030,거래내역!$F$2:$F$501,"수익"))</f>
        <v/>
      </c>
      <c r="Q23" s="28" t="str">
        <f aca="false">IF($B23="","",SUMIFS(거래내역!$H$2:$H$501,거래내역!$D$2:$D$501,$B23,거래내역!$C$2:$C$501,2030,거래내역!$F$2:$F$501,"비용"))</f>
        <v/>
      </c>
      <c r="R23" s="29" t="str">
        <f aca="false">IF($B23="","",P23-Q23)</f>
        <v/>
      </c>
      <c r="S23" s="28" t="str">
        <f aca="false">IF($B23="","",SUMIFS(거래내역!$H$2:$H$501,거래내역!$D$2:$D$501,$B23,거래내역!$F$2:$F$501,"수익"))</f>
        <v/>
      </c>
      <c r="T23" s="28" t="str">
        <f aca="false">IF($B23="","",SUMIFS(거래내역!$H$2:$H$501,거래내역!$D$2:$D$501,$B23,거래내역!$F$2:$F$501,"비용"))</f>
        <v/>
      </c>
      <c r="U23" s="29" t="str">
        <f aca="false">IF($B23="","",S23-T23)</f>
        <v/>
      </c>
      <c r="V23" s="30" t="str">
        <f aca="false">IF(OR($B23="",S23=0),"",U23/S23)</f>
        <v/>
      </c>
    </row>
    <row r="24" customFormat="false" ht="15" hidden="false" customHeight="false" outlineLevel="0" collapsed="false">
      <c r="B24" s="27" t="str">
        <f aca="false">IF(프로젝트목록!B22="","",프로젝트목록!B22)</f>
        <v/>
      </c>
      <c r="C24" s="27" t="str">
        <f aca="false">IF(프로젝트목록!B22="","",프로젝트목록!C22)</f>
        <v/>
      </c>
      <c r="D24" s="28" t="str">
        <f aca="false">IF($B24="","",SUMIFS(거래내역!$H$2:$H$501,거래내역!$D$2:$D$501,$B24,거래내역!$C$2:$C$501,2026,거래내역!$F$2:$F$501,"수익"))</f>
        <v/>
      </c>
      <c r="E24" s="28" t="str">
        <f aca="false">IF($B24="","",SUMIFS(거래내역!$H$2:$H$501,거래내역!$D$2:$D$501,$B24,거래내역!$C$2:$C$501,2026,거래내역!$F$2:$F$501,"비용"))</f>
        <v/>
      </c>
      <c r="F24" s="29" t="str">
        <f aca="false">IF($B24="","",D24-E24)</f>
        <v/>
      </c>
      <c r="G24" s="28" t="str">
        <f aca="false">IF($B24="","",SUMIFS(거래내역!$H$2:$H$501,거래내역!$D$2:$D$501,$B24,거래내역!$C$2:$C$501,2027,거래내역!$F$2:$F$501,"수익"))</f>
        <v/>
      </c>
      <c r="H24" s="28" t="str">
        <f aca="false">IF($B24="","",SUMIFS(거래내역!$H$2:$H$501,거래내역!$D$2:$D$501,$B24,거래내역!$C$2:$C$501,2027,거래내역!$F$2:$F$501,"비용"))</f>
        <v/>
      </c>
      <c r="I24" s="29" t="str">
        <f aca="false">IF($B24="","",G24-H24)</f>
        <v/>
      </c>
      <c r="J24" s="28" t="str">
        <f aca="false">IF($B24="","",SUMIFS(거래내역!$H$2:$H$501,거래내역!$D$2:$D$501,$B24,거래내역!$C$2:$C$501,2028,거래내역!$F$2:$F$501,"수익"))</f>
        <v/>
      </c>
      <c r="K24" s="28" t="str">
        <f aca="false">IF($B24="","",SUMIFS(거래내역!$H$2:$H$501,거래내역!$D$2:$D$501,$B24,거래내역!$C$2:$C$501,2028,거래내역!$F$2:$F$501,"비용"))</f>
        <v/>
      </c>
      <c r="L24" s="29" t="str">
        <f aca="false">IF($B24="","",J24-K24)</f>
        <v/>
      </c>
      <c r="M24" s="28" t="str">
        <f aca="false">IF($B24="","",SUMIFS(거래내역!$H$2:$H$501,거래내역!$D$2:$D$501,$B24,거래내역!$C$2:$C$501,2029,거래내역!$F$2:$F$501,"수익"))</f>
        <v/>
      </c>
      <c r="N24" s="28" t="str">
        <f aca="false">IF($B24="","",SUMIFS(거래내역!$H$2:$H$501,거래내역!$D$2:$D$501,$B24,거래내역!$C$2:$C$501,2029,거래내역!$F$2:$F$501,"비용"))</f>
        <v/>
      </c>
      <c r="O24" s="29" t="str">
        <f aca="false">IF($B24="","",M24-N24)</f>
        <v/>
      </c>
      <c r="P24" s="28" t="str">
        <f aca="false">IF($B24="","",SUMIFS(거래내역!$H$2:$H$501,거래내역!$D$2:$D$501,$B24,거래내역!$C$2:$C$501,2030,거래내역!$F$2:$F$501,"수익"))</f>
        <v/>
      </c>
      <c r="Q24" s="28" t="str">
        <f aca="false">IF($B24="","",SUMIFS(거래내역!$H$2:$H$501,거래내역!$D$2:$D$501,$B24,거래내역!$C$2:$C$501,2030,거래내역!$F$2:$F$501,"비용"))</f>
        <v/>
      </c>
      <c r="R24" s="29" t="str">
        <f aca="false">IF($B24="","",P24-Q24)</f>
        <v/>
      </c>
      <c r="S24" s="28" t="str">
        <f aca="false">IF($B24="","",SUMIFS(거래내역!$H$2:$H$501,거래내역!$D$2:$D$501,$B24,거래내역!$F$2:$F$501,"수익"))</f>
        <v/>
      </c>
      <c r="T24" s="28" t="str">
        <f aca="false">IF($B24="","",SUMIFS(거래내역!$H$2:$H$501,거래내역!$D$2:$D$501,$B24,거래내역!$F$2:$F$501,"비용"))</f>
        <v/>
      </c>
      <c r="U24" s="29" t="str">
        <f aca="false">IF($B24="","",S24-T24)</f>
        <v/>
      </c>
      <c r="V24" s="30" t="str">
        <f aca="false">IF(OR($B24="",S24=0),"",U24/S24)</f>
        <v/>
      </c>
    </row>
    <row r="25" customFormat="false" ht="15" hidden="false" customHeight="false" outlineLevel="0" collapsed="false">
      <c r="B25" s="27" t="str">
        <f aca="false">IF(프로젝트목록!B23="","",프로젝트목록!B23)</f>
        <v/>
      </c>
      <c r="C25" s="27" t="str">
        <f aca="false">IF(프로젝트목록!B23="","",프로젝트목록!C23)</f>
        <v/>
      </c>
      <c r="D25" s="28" t="str">
        <f aca="false">IF($B25="","",SUMIFS(거래내역!$H$2:$H$501,거래내역!$D$2:$D$501,$B25,거래내역!$C$2:$C$501,2026,거래내역!$F$2:$F$501,"수익"))</f>
        <v/>
      </c>
      <c r="E25" s="28" t="str">
        <f aca="false">IF($B25="","",SUMIFS(거래내역!$H$2:$H$501,거래내역!$D$2:$D$501,$B25,거래내역!$C$2:$C$501,2026,거래내역!$F$2:$F$501,"비용"))</f>
        <v/>
      </c>
      <c r="F25" s="29" t="str">
        <f aca="false">IF($B25="","",D25-E25)</f>
        <v/>
      </c>
      <c r="G25" s="28" t="str">
        <f aca="false">IF($B25="","",SUMIFS(거래내역!$H$2:$H$501,거래내역!$D$2:$D$501,$B25,거래내역!$C$2:$C$501,2027,거래내역!$F$2:$F$501,"수익"))</f>
        <v/>
      </c>
      <c r="H25" s="28" t="str">
        <f aca="false">IF($B25="","",SUMIFS(거래내역!$H$2:$H$501,거래내역!$D$2:$D$501,$B25,거래내역!$C$2:$C$501,2027,거래내역!$F$2:$F$501,"비용"))</f>
        <v/>
      </c>
      <c r="I25" s="29" t="str">
        <f aca="false">IF($B25="","",G25-H25)</f>
        <v/>
      </c>
      <c r="J25" s="28" t="str">
        <f aca="false">IF($B25="","",SUMIFS(거래내역!$H$2:$H$501,거래내역!$D$2:$D$501,$B25,거래내역!$C$2:$C$501,2028,거래내역!$F$2:$F$501,"수익"))</f>
        <v/>
      </c>
      <c r="K25" s="28" t="str">
        <f aca="false">IF($B25="","",SUMIFS(거래내역!$H$2:$H$501,거래내역!$D$2:$D$501,$B25,거래내역!$C$2:$C$501,2028,거래내역!$F$2:$F$501,"비용"))</f>
        <v/>
      </c>
      <c r="L25" s="29" t="str">
        <f aca="false">IF($B25="","",J25-K25)</f>
        <v/>
      </c>
      <c r="M25" s="28" t="str">
        <f aca="false">IF($B25="","",SUMIFS(거래내역!$H$2:$H$501,거래내역!$D$2:$D$501,$B25,거래내역!$C$2:$C$501,2029,거래내역!$F$2:$F$501,"수익"))</f>
        <v/>
      </c>
      <c r="N25" s="28" t="str">
        <f aca="false">IF($B25="","",SUMIFS(거래내역!$H$2:$H$501,거래내역!$D$2:$D$501,$B25,거래내역!$C$2:$C$501,2029,거래내역!$F$2:$F$501,"비용"))</f>
        <v/>
      </c>
      <c r="O25" s="29" t="str">
        <f aca="false">IF($B25="","",M25-N25)</f>
        <v/>
      </c>
      <c r="P25" s="28" t="str">
        <f aca="false">IF($B25="","",SUMIFS(거래내역!$H$2:$H$501,거래내역!$D$2:$D$501,$B25,거래내역!$C$2:$C$501,2030,거래내역!$F$2:$F$501,"수익"))</f>
        <v/>
      </c>
      <c r="Q25" s="28" t="str">
        <f aca="false">IF($B25="","",SUMIFS(거래내역!$H$2:$H$501,거래내역!$D$2:$D$501,$B25,거래내역!$C$2:$C$501,2030,거래내역!$F$2:$F$501,"비용"))</f>
        <v/>
      </c>
      <c r="R25" s="29" t="str">
        <f aca="false">IF($B25="","",P25-Q25)</f>
        <v/>
      </c>
      <c r="S25" s="28" t="str">
        <f aca="false">IF($B25="","",SUMIFS(거래내역!$H$2:$H$501,거래내역!$D$2:$D$501,$B25,거래내역!$F$2:$F$501,"수익"))</f>
        <v/>
      </c>
      <c r="T25" s="28" t="str">
        <f aca="false">IF($B25="","",SUMIFS(거래내역!$H$2:$H$501,거래내역!$D$2:$D$501,$B25,거래내역!$F$2:$F$501,"비용"))</f>
        <v/>
      </c>
      <c r="U25" s="29" t="str">
        <f aca="false">IF($B25="","",S25-T25)</f>
        <v/>
      </c>
      <c r="V25" s="30" t="str">
        <f aca="false">IF(OR($B25="",S25=0),"",U25/S25)</f>
        <v/>
      </c>
    </row>
    <row r="26" customFormat="false" ht="15" hidden="false" customHeight="false" outlineLevel="0" collapsed="false">
      <c r="B26" s="27" t="str">
        <f aca="false">IF(프로젝트목록!B24="","",프로젝트목록!B24)</f>
        <v/>
      </c>
      <c r="C26" s="27" t="str">
        <f aca="false">IF(프로젝트목록!B24="","",프로젝트목록!C24)</f>
        <v/>
      </c>
      <c r="D26" s="28" t="str">
        <f aca="false">IF($B26="","",SUMIFS(거래내역!$H$2:$H$501,거래내역!$D$2:$D$501,$B26,거래내역!$C$2:$C$501,2026,거래내역!$F$2:$F$501,"수익"))</f>
        <v/>
      </c>
      <c r="E26" s="28" t="str">
        <f aca="false">IF($B26="","",SUMIFS(거래내역!$H$2:$H$501,거래내역!$D$2:$D$501,$B26,거래내역!$C$2:$C$501,2026,거래내역!$F$2:$F$501,"비용"))</f>
        <v/>
      </c>
      <c r="F26" s="29" t="str">
        <f aca="false">IF($B26="","",D26-E26)</f>
        <v/>
      </c>
      <c r="G26" s="28" t="str">
        <f aca="false">IF($B26="","",SUMIFS(거래내역!$H$2:$H$501,거래내역!$D$2:$D$501,$B26,거래내역!$C$2:$C$501,2027,거래내역!$F$2:$F$501,"수익"))</f>
        <v/>
      </c>
      <c r="H26" s="28" t="str">
        <f aca="false">IF($B26="","",SUMIFS(거래내역!$H$2:$H$501,거래내역!$D$2:$D$501,$B26,거래내역!$C$2:$C$501,2027,거래내역!$F$2:$F$501,"비용"))</f>
        <v/>
      </c>
      <c r="I26" s="29" t="str">
        <f aca="false">IF($B26="","",G26-H26)</f>
        <v/>
      </c>
      <c r="J26" s="28" t="str">
        <f aca="false">IF($B26="","",SUMIFS(거래내역!$H$2:$H$501,거래내역!$D$2:$D$501,$B26,거래내역!$C$2:$C$501,2028,거래내역!$F$2:$F$501,"수익"))</f>
        <v/>
      </c>
      <c r="K26" s="28" t="str">
        <f aca="false">IF($B26="","",SUMIFS(거래내역!$H$2:$H$501,거래내역!$D$2:$D$501,$B26,거래내역!$C$2:$C$501,2028,거래내역!$F$2:$F$501,"비용"))</f>
        <v/>
      </c>
      <c r="L26" s="29" t="str">
        <f aca="false">IF($B26="","",J26-K26)</f>
        <v/>
      </c>
      <c r="M26" s="28" t="str">
        <f aca="false">IF($B26="","",SUMIFS(거래내역!$H$2:$H$501,거래내역!$D$2:$D$501,$B26,거래내역!$C$2:$C$501,2029,거래내역!$F$2:$F$501,"수익"))</f>
        <v/>
      </c>
      <c r="N26" s="28" t="str">
        <f aca="false">IF($B26="","",SUMIFS(거래내역!$H$2:$H$501,거래내역!$D$2:$D$501,$B26,거래내역!$C$2:$C$501,2029,거래내역!$F$2:$F$501,"비용"))</f>
        <v/>
      </c>
      <c r="O26" s="29" t="str">
        <f aca="false">IF($B26="","",M26-N26)</f>
        <v/>
      </c>
      <c r="P26" s="28" t="str">
        <f aca="false">IF($B26="","",SUMIFS(거래내역!$H$2:$H$501,거래내역!$D$2:$D$501,$B26,거래내역!$C$2:$C$501,2030,거래내역!$F$2:$F$501,"수익"))</f>
        <v/>
      </c>
      <c r="Q26" s="28" t="str">
        <f aca="false">IF($B26="","",SUMIFS(거래내역!$H$2:$H$501,거래내역!$D$2:$D$501,$B26,거래내역!$C$2:$C$501,2030,거래내역!$F$2:$F$501,"비용"))</f>
        <v/>
      </c>
      <c r="R26" s="29" t="str">
        <f aca="false">IF($B26="","",P26-Q26)</f>
        <v/>
      </c>
      <c r="S26" s="28" t="str">
        <f aca="false">IF($B26="","",SUMIFS(거래내역!$H$2:$H$501,거래내역!$D$2:$D$501,$B26,거래내역!$F$2:$F$501,"수익"))</f>
        <v/>
      </c>
      <c r="T26" s="28" t="str">
        <f aca="false">IF($B26="","",SUMIFS(거래내역!$H$2:$H$501,거래내역!$D$2:$D$501,$B26,거래내역!$F$2:$F$501,"비용"))</f>
        <v/>
      </c>
      <c r="U26" s="29" t="str">
        <f aca="false">IF($B26="","",S26-T26)</f>
        <v/>
      </c>
      <c r="V26" s="30" t="str">
        <f aca="false">IF(OR($B26="",S26=0),"",U26/S26)</f>
        <v/>
      </c>
    </row>
    <row r="27" customFormat="false" ht="15" hidden="false" customHeight="false" outlineLevel="0" collapsed="false">
      <c r="B27" s="27" t="str">
        <f aca="false">IF(프로젝트목록!B25="","",프로젝트목록!B25)</f>
        <v/>
      </c>
      <c r="C27" s="27" t="str">
        <f aca="false">IF(프로젝트목록!B25="","",프로젝트목록!C25)</f>
        <v/>
      </c>
      <c r="D27" s="28" t="str">
        <f aca="false">IF($B27="","",SUMIFS(거래내역!$H$2:$H$501,거래내역!$D$2:$D$501,$B27,거래내역!$C$2:$C$501,2026,거래내역!$F$2:$F$501,"수익"))</f>
        <v/>
      </c>
      <c r="E27" s="28" t="str">
        <f aca="false">IF($B27="","",SUMIFS(거래내역!$H$2:$H$501,거래내역!$D$2:$D$501,$B27,거래내역!$C$2:$C$501,2026,거래내역!$F$2:$F$501,"비용"))</f>
        <v/>
      </c>
      <c r="F27" s="29" t="str">
        <f aca="false">IF($B27="","",D27-E27)</f>
        <v/>
      </c>
      <c r="G27" s="28" t="str">
        <f aca="false">IF($B27="","",SUMIFS(거래내역!$H$2:$H$501,거래내역!$D$2:$D$501,$B27,거래내역!$C$2:$C$501,2027,거래내역!$F$2:$F$501,"수익"))</f>
        <v/>
      </c>
      <c r="H27" s="28" t="str">
        <f aca="false">IF($B27="","",SUMIFS(거래내역!$H$2:$H$501,거래내역!$D$2:$D$501,$B27,거래내역!$C$2:$C$501,2027,거래내역!$F$2:$F$501,"비용"))</f>
        <v/>
      </c>
      <c r="I27" s="29" t="str">
        <f aca="false">IF($B27="","",G27-H27)</f>
        <v/>
      </c>
      <c r="J27" s="28" t="str">
        <f aca="false">IF($B27="","",SUMIFS(거래내역!$H$2:$H$501,거래내역!$D$2:$D$501,$B27,거래내역!$C$2:$C$501,2028,거래내역!$F$2:$F$501,"수익"))</f>
        <v/>
      </c>
      <c r="K27" s="28" t="str">
        <f aca="false">IF($B27="","",SUMIFS(거래내역!$H$2:$H$501,거래내역!$D$2:$D$501,$B27,거래내역!$C$2:$C$501,2028,거래내역!$F$2:$F$501,"비용"))</f>
        <v/>
      </c>
      <c r="L27" s="29" t="str">
        <f aca="false">IF($B27="","",J27-K27)</f>
        <v/>
      </c>
      <c r="M27" s="28" t="str">
        <f aca="false">IF($B27="","",SUMIFS(거래내역!$H$2:$H$501,거래내역!$D$2:$D$501,$B27,거래내역!$C$2:$C$501,2029,거래내역!$F$2:$F$501,"수익"))</f>
        <v/>
      </c>
      <c r="N27" s="28" t="str">
        <f aca="false">IF($B27="","",SUMIFS(거래내역!$H$2:$H$501,거래내역!$D$2:$D$501,$B27,거래내역!$C$2:$C$501,2029,거래내역!$F$2:$F$501,"비용"))</f>
        <v/>
      </c>
      <c r="O27" s="29" t="str">
        <f aca="false">IF($B27="","",M27-N27)</f>
        <v/>
      </c>
      <c r="P27" s="28" t="str">
        <f aca="false">IF($B27="","",SUMIFS(거래내역!$H$2:$H$501,거래내역!$D$2:$D$501,$B27,거래내역!$C$2:$C$501,2030,거래내역!$F$2:$F$501,"수익"))</f>
        <v/>
      </c>
      <c r="Q27" s="28" t="str">
        <f aca="false">IF($B27="","",SUMIFS(거래내역!$H$2:$H$501,거래내역!$D$2:$D$501,$B27,거래내역!$C$2:$C$501,2030,거래내역!$F$2:$F$501,"비용"))</f>
        <v/>
      </c>
      <c r="R27" s="29" t="str">
        <f aca="false">IF($B27="","",P27-Q27)</f>
        <v/>
      </c>
      <c r="S27" s="28" t="str">
        <f aca="false">IF($B27="","",SUMIFS(거래내역!$H$2:$H$501,거래내역!$D$2:$D$501,$B27,거래내역!$F$2:$F$501,"수익"))</f>
        <v/>
      </c>
      <c r="T27" s="28" t="str">
        <f aca="false">IF($B27="","",SUMIFS(거래내역!$H$2:$H$501,거래내역!$D$2:$D$501,$B27,거래내역!$F$2:$F$501,"비용"))</f>
        <v/>
      </c>
      <c r="U27" s="29" t="str">
        <f aca="false">IF($B27="","",S27-T27)</f>
        <v/>
      </c>
      <c r="V27" s="30" t="str">
        <f aca="false">IF(OR($B27="",S27=0),"",U27/S27)</f>
        <v/>
      </c>
    </row>
    <row r="28" customFormat="false" ht="15" hidden="false" customHeight="false" outlineLevel="0" collapsed="false">
      <c r="B28" s="27" t="str">
        <f aca="false">IF(프로젝트목록!B26="","",프로젝트목록!B26)</f>
        <v/>
      </c>
      <c r="C28" s="27" t="str">
        <f aca="false">IF(프로젝트목록!B26="","",프로젝트목록!C26)</f>
        <v/>
      </c>
      <c r="D28" s="28" t="str">
        <f aca="false">IF($B28="","",SUMIFS(거래내역!$H$2:$H$501,거래내역!$D$2:$D$501,$B28,거래내역!$C$2:$C$501,2026,거래내역!$F$2:$F$501,"수익"))</f>
        <v/>
      </c>
      <c r="E28" s="28" t="str">
        <f aca="false">IF($B28="","",SUMIFS(거래내역!$H$2:$H$501,거래내역!$D$2:$D$501,$B28,거래내역!$C$2:$C$501,2026,거래내역!$F$2:$F$501,"비용"))</f>
        <v/>
      </c>
      <c r="F28" s="29" t="str">
        <f aca="false">IF($B28="","",D28-E28)</f>
        <v/>
      </c>
      <c r="G28" s="28" t="str">
        <f aca="false">IF($B28="","",SUMIFS(거래내역!$H$2:$H$501,거래내역!$D$2:$D$501,$B28,거래내역!$C$2:$C$501,2027,거래내역!$F$2:$F$501,"수익"))</f>
        <v/>
      </c>
      <c r="H28" s="28" t="str">
        <f aca="false">IF($B28="","",SUMIFS(거래내역!$H$2:$H$501,거래내역!$D$2:$D$501,$B28,거래내역!$C$2:$C$501,2027,거래내역!$F$2:$F$501,"비용"))</f>
        <v/>
      </c>
      <c r="I28" s="29" t="str">
        <f aca="false">IF($B28="","",G28-H28)</f>
        <v/>
      </c>
      <c r="J28" s="28" t="str">
        <f aca="false">IF($B28="","",SUMIFS(거래내역!$H$2:$H$501,거래내역!$D$2:$D$501,$B28,거래내역!$C$2:$C$501,2028,거래내역!$F$2:$F$501,"수익"))</f>
        <v/>
      </c>
      <c r="K28" s="28" t="str">
        <f aca="false">IF($B28="","",SUMIFS(거래내역!$H$2:$H$501,거래내역!$D$2:$D$501,$B28,거래내역!$C$2:$C$501,2028,거래내역!$F$2:$F$501,"비용"))</f>
        <v/>
      </c>
      <c r="L28" s="29" t="str">
        <f aca="false">IF($B28="","",J28-K28)</f>
        <v/>
      </c>
      <c r="M28" s="28" t="str">
        <f aca="false">IF($B28="","",SUMIFS(거래내역!$H$2:$H$501,거래내역!$D$2:$D$501,$B28,거래내역!$C$2:$C$501,2029,거래내역!$F$2:$F$501,"수익"))</f>
        <v/>
      </c>
      <c r="N28" s="28" t="str">
        <f aca="false">IF($B28="","",SUMIFS(거래내역!$H$2:$H$501,거래내역!$D$2:$D$501,$B28,거래내역!$C$2:$C$501,2029,거래내역!$F$2:$F$501,"비용"))</f>
        <v/>
      </c>
      <c r="O28" s="29" t="str">
        <f aca="false">IF($B28="","",M28-N28)</f>
        <v/>
      </c>
      <c r="P28" s="28" t="str">
        <f aca="false">IF($B28="","",SUMIFS(거래내역!$H$2:$H$501,거래내역!$D$2:$D$501,$B28,거래내역!$C$2:$C$501,2030,거래내역!$F$2:$F$501,"수익"))</f>
        <v/>
      </c>
      <c r="Q28" s="28" t="str">
        <f aca="false">IF($B28="","",SUMIFS(거래내역!$H$2:$H$501,거래내역!$D$2:$D$501,$B28,거래내역!$C$2:$C$501,2030,거래내역!$F$2:$F$501,"비용"))</f>
        <v/>
      </c>
      <c r="R28" s="29" t="str">
        <f aca="false">IF($B28="","",P28-Q28)</f>
        <v/>
      </c>
      <c r="S28" s="28" t="str">
        <f aca="false">IF($B28="","",SUMIFS(거래내역!$H$2:$H$501,거래내역!$D$2:$D$501,$B28,거래내역!$F$2:$F$501,"수익"))</f>
        <v/>
      </c>
      <c r="T28" s="28" t="str">
        <f aca="false">IF($B28="","",SUMIFS(거래내역!$H$2:$H$501,거래내역!$D$2:$D$501,$B28,거래내역!$F$2:$F$501,"비용"))</f>
        <v/>
      </c>
      <c r="U28" s="29" t="str">
        <f aca="false">IF($B28="","",S28-T28)</f>
        <v/>
      </c>
      <c r="V28" s="30" t="str">
        <f aca="false">IF(OR($B28="",S28=0),"",U28/S28)</f>
        <v/>
      </c>
    </row>
    <row r="29" customFormat="false" ht="15" hidden="false" customHeight="false" outlineLevel="0" collapsed="false">
      <c r="B29" s="27" t="str">
        <f aca="false">IF(프로젝트목록!B27="","",프로젝트목록!B27)</f>
        <v/>
      </c>
      <c r="C29" s="27" t="str">
        <f aca="false">IF(프로젝트목록!B27="","",프로젝트목록!C27)</f>
        <v/>
      </c>
      <c r="D29" s="28" t="str">
        <f aca="false">IF($B29="","",SUMIFS(거래내역!$H$2:$H$501,거래내역!$D$2:$D$501,$B29,거래내역!$C$2:$C$501,2026,거래내역!$F$2:$F$501,"수익"))</f>
        <v/>
      </c>
      <c r="E29" s="28" t="str">
        <f aca="false">IF($B29="","",SUMIFS(거래내역!$H$2:$H$501,거래내역!$D$2:$D$501,$B29,거래내역!$C$2:$C$501,2026,거래내역!$F$2:$F$501,"비용"))</f>
        <v/>
      </c>
      <c r="F29" s="29" t="str">
        <f aca="false">IF($B29="","",D29-E29)</f>
        <v/>
      </c>
      <c r="G29" s="28" t="str">
        <f aca="false">IF($B29="","",SUMIFS(거래내역!$H$2:$H$501,거래내역!$D$2:$D$501,$B29,거래내역!$C$2:$C$501,2027,거래내역!$F$2:$F$501,"수익"))</f>
        <v/>
      </c>
      <c r="H29" s="28" t="str">
        <f aca="false">IF($B29="","",SUMIFS(거래내역!$H$2:$H$501,거래내역!$D$2:$D$501,$B29,거래내역!$C$2:$C$501,2027,거래내역!$F$2:$F$501,"비용"))</f>
        <v/>
      </c>
      <c r="I29" s="29" t="str">
        <f aca="false">IF($B29="","",G29-H29)</f>
        <v/>
      </c>
      <c r="J29" s="28" t="str">
        <f aca="false">IF($B29="","",SUMIFS(거래내역!$H$2:$H$501,거래내역!$D$2:$D$501,$B29,거래내역!$C$2:$C$501,2028,거래내역!$F$2:$F$501,"수익"))</f>
        <v/>
      </c>
      <c r="K29" s="28" t="str">
        <f aca="false">IF($B29="","",SUMIFS(거래내역!$H$2:$H$501,거래내역!$D$2:$D$501,$B29,거래내역!$C$2:$C$501,2028,거래내역!$F$2:$F$501,"비용"))</f>
        <v/>
      </c>
      <c r="L29" s="29" t="str">
        <f aca="false">IF($B29="","",J29-K29)</f>
        <v/>
      </c>
      <c r="M29" s="28" t="str">
        <f aca="false">IF($B29="","",SUMIFS(거래내역!$H$2:$H$501,거래내역!$D$2:$D$501,$B29,거래내역!$C$2:$C$501,2029,거래내역!$F$2:$F$501,"수익"))</f>
        <v/>
      </c>
      <c r="N29" s="28" t="str">
        <f aca="false">IF($B29="","",SUMIFS(거래내역!$H$2:$H$501,거래내역!$D$2:$D$501,$B29,거래내역!$C$2:$C$501,2029,거래내역!$F$2:$F$501,"비용"))</f>
        <v/>
      </c>
      <c r="O29" s="29" t="str">
        <f aca="false">IF($B29="","",M29-N29)</f>
        <v/>
      </c>
      <c r="P29" s="28" t="str">
        <f aca="false">IF($B29="","",SUMIFS(거래내역!$H$2:$H$501,거래내역!$D$2:$D$501,$B29,거래내역!$C$2:$C$501,2030,거래내역!$F$2:$F$501,"수익"))</f>
        <v/>
      </c>
      <c r="Q29" s="28" t="str">
        <f aca="false">IF($B29="","",SUMIFS(거래내역!$H$2:$H$501,거래내역!$D$2:$D$501,$B29,거래내역!$C$2:$C$501,2030,거래내역!$F$2:$F$501,"비용"))</f>
        <v/>
      </c>
      <c r="R29" s="29" t="str">
        <f aca="false">IF($B29="","",P29-Q29)</f>
        <v/>
      </c>
      <c r="S29" s="28" t="str">
        <f aca="false">IF($B29="","",SUMIFS(거래내역!$H$2:$H$501,거래내역!$D$2:$D$501,$B29,거래내역!$F$2:$F$501,"수익"))</f>
        <v/>
      </c>
      <c r="T29" s="28" t="str">
        <f aca="false">IF($B29="","",SUMIFS(거래내역!$H$2:$H$501,거래내역!$D$2:$D$501,$B29,거래내역!$F$2:$F$501,"비용"))</f>
        <v/>
      </c>
      <c r="U29" s="29" t="str">
        <f aca="false">IF($B29="","",S29-T29)</f>
        <v/>
      </c>
      <c r="V29" s="30" t="str">
        <f aca="false">IF(OR($B29="",S29=0),"",U29/S29)</f>
        <v/>
      </c>
    </row>
    <row r="30" customFormat="false" ht="15" hidden="false" customHeight="false" outlineLevel="0" collapsed="false">
      <c r="B30" s="27" t="str">
        <f aca="false">IF(프로젝트목록!B28="","",프로젝트목록!B28)</f>
        <v/>
      </c>
      <c r="C30" s="27" t="str">
        <f aca="false">IF(프로젝트목록!B28="","",프로젝트목록!C28)</f>
        <v/>
      </c>
      <c r="D30" s="28" t="str">
        <f aca="false">IF($B30="","",SUMIFS(거래내역!$H$2:$H$501,거래내역!$D$2:$D$501,$B30,거래내역!$C$2:$C$501,2026,거래내역!$F$2:$F$501,"수익"))</f>
        <v/>
      </c>
      <c r="E30" s="28" t="str">
        <f aca="false">IF($B30="","",SUMIFS(거래내역!$H$2:$H$501,거래내역!$D$2:$D$501,$B30,거래내역!$C$2:$C$501,2026,거래내역!$F$2:$F$501,"비용"))</f>
        <v/>
      </c>
      <c r="F30" s="29" t="str">
        <f aca="false">IF($B30="","",D30-E30)</f>
        <v/>
      </c>
      <c r="G30" s="28" t="str">
        <f aca="false">IF($B30="","",SUMIFS(거래내역!$H$2:$H$501,거래내역!$D$2:$D$501,$B30,거래내역!$C$2:$C$501,2027,거래내역!$F$2:$F$501,"수익"))</f>
        <v/>
      </c>
      <c r="H30" s="28" t="str">
        <f aca="false">IF($B30="","",SUMIFS(거래내역!$H$2:$H$501,거래내역!$D$2:$D$501,$B30,거래내역!$C$2:$C$501,2027,거래내역!$F$2:$F$501,"비용"))</f>
        <v/>
      </c>
      <c r="I30" s="29" t="str">
        <f aca="false">IF($B30="","",G30-H30)</f>
        <v/>
      </c>
      <c r="J30" s="28" t="str">
        <f aca="false">IF($B30="","",SUMIFS(거래내역!$H$2:$H$501,거래내역!$D$2:$D$501,$B30,거래내역!$C$2:$C$501,2028,거래내역!$F$2:$F$501,"수익"))</f>
        <v/>
      </c>
      <c r="K30" s="28" t="str">
        <f aca="false">IF($B30="","",SUMIFS(거래내역!$H$2:$H$501,거래내역!$D$2:$D$501,$B30,거래내역!$C$2:$C$501,2028,거래내역!$F$2:$F$501,"비용"))</f>
        <v/>
      </c>
      <c r="L30" s="29" t="str">
        <f aca="false">IF($B30="","",J30-K30)</f>
        <v/>
      </c>
      <c r="M30" s="28" t="str">
        <f aca="false">IF($B30="","",SUMIFS(거래내역!$H$2:$H$501,거래내역!$D$2:$D$501,$B30,거래내역!$C$2:$C$501,2029,거래내역!$F$2:$F$501,"수익"))</f>
        <v/>
      </c>
      <c r="N30" s="28" t="str">
        <f aca="false">IF($B30="","",SUMIFS(거래내역!$H$2:$H$501,거래내역!$D$2:$D$501,$B30,거래내역!$C$2:$C$501,2029,거래내역!$F$2:$F$501,"비용"))</f>
        <v/>
      </c>
      <c r="O30" s="29" t="str">
        <f aca="false">IF($B30="","",M30-N30)</f>
        <v/>
      </c>
      <c r="P30" s="28" t="str">
        <f aca="false">IF($B30="","",SUMIFS(거래내역!$H$2:$H$501,거래내역!$D$2:$D$501,$B30,거래내역!$C$2:$C$501,2030,거래내역!$F$2:$F$501,"수익"))</f>
        <v/>
      </c>
      <c r="Q30" s="28" t="str">
        <f aca="false">IF($B30="","",SUMIFS(거래내역!$H$2:$H$501,거래내역!$D$2:$D$501,$B30,거래내역!$C$2:$C$501,2030,거래내역!$F$2:$F$501,"비용"))</f>
        <v/>
      </c>
      <c r="R30" s="29" t="str">
        <f aca="false">IF($B30="","",P30-Q30)</f>
        <v/>
      </c>
      <c r="S30" s="28" t="str">
        <f aca="false">IF($B30="","",SUMIFS(거래내역!$H$2:$H$501,거래내역!$D$2:$D$501,$B30,거래내역!$F$2:$F$501,"수익"))</f>
        <v/>
      </c>
      <c r="T30" s="28" t="str">
        <f aca="false">IF($B30="","",SUMIFS(거래내역!$H$2:$H$501,거래내역!$D$2:$D$501,$B30,거래내역!$F$2:$F$501,"비용"))</f>
        <v/>
      </c>
      <c r="U30" s="29" t="str">
        <f aca="false">IF($B30="","",S30-T30)</f>
        <v/>
      </c>
      <c r="V30" s="30" t="str">
        <f aca="false">IF(OR($B30="",S30=0),"",U30/S30)</f>
        <v/>
      </c>
    </row>
    <row r="31" customFormat="false" ht="15" hidden="false" customHeight="false" outlineLevel="0" collapsed="false">
      <c r="B31" s="27" t="str">
        <f aca="false">IF(프로젝트목록!B29="","",프로젝트목록!B29)</f>
        <v/>
      </c>
      <c r="C31" s="27" t="str">
        <f aca="false">IF(프로젝트목록!B29="","",프로젝트목록!C29)</f>
        <v/>
      </c>
      <c r="D31" s="28" t="str">
        <f aca="false">IF($B31="","",SUMIFS(거래내역!$H$2:$H$501,거래내역!$D$2:$D$501,$B31,거래내역!$C$2:$C$501,2026,거래내역!$F$2:$F$501,"수익"))</f>
        <v/>
      </c>
      <c r="E31" s="28" t="str">
        <f aca="false">IF($B31="","",SUMIFS(거래내역!$H$2:$H$501,거래내역!$D$2:$D$501,$B31,거래내역!$C$2:$C$501,2026,거래내역!$F$2:$F$501,"비용"))</f>
        <v/>
      </c>
      <c r="F31" s="29" t="str">
        <f aca="false">IF($B31="","",D31-E31)</f>
        <v/>
      </c>
      <c r="G31" s="28" t="str">
        <f aca="false">IF($B31="","",SUMIFS(거래내역!$H$2:$H$501,거래내역!$D$2:$D$501,$B31,거래내역!$C$2:$C$501,2027,거래내역!$F$2:$F$501,"수익"))</f>
        <v/>
      </c>
      <c r="H31" s="28" t="str">
        <f aca="false">IF($B31="","",SUMIFS(거래내역!$H$2:$H$501,거래내역!$D$2:$D$501,$B31,거래내역!$C$2:$C$501,2027,거래내역!$F$2:$F$501,"비용"))</f>
        <v/>
      </c>
      <c r="I31" s="29" t="str">
        <f aca="false">IF($B31="","",G31-H31)</f>
        <v/>
      </c>
      <c r="J31" s="28" t="str">
        <f aca="false">IF($B31="","",SUMIFS(거래내역!$H$2:$H$501,거래내역!$D$2:$D$501,$B31,거래내역!$C$2:$C$501,2028,거래내역!$F$2:$F$501,"수익"))</f>
        <v/>
      </c>
      <c r="K31" s="28" t="str">
        <f aca="false">IF($B31="","",SUMIFS(거래내역!$H$2:$H$501,거래내역!$D$2:$D$501,$B31,거래내역!$C$2:$C$501,2028,거래내역!$F$2:$F$501,"비용"))</f>
        <v/>
      </c>
      <c r="L31" s="29" t="str">
        <f aca="false">IF($B31="","",J31-K31)</f>
        <v/>
      </c>
      <c r="M31" s="28" t="str">
        <f aca="false">IF($B31="","",SUMIFS(거래내역!$H$2:$H$501,거래내역!$D$2:$D$501,$B31,거래내역!$C$2:$C$501,2029,거래내역!$F$2:$F$501,"수익"))</f>
        <v/>
      </c>
      <c r="N31" s="28" t="str">
        <f aca="false">IF($B31="","",SUMIFS(거래내역!$H$2:$H$501,거래내역!$D$2:$D$501,$B31,거래내역!$C$2:$C$501,2029,거래내역!$F$2:$F$501,"비용"))</f>
        <v/>
      </c>
      <c r="O31" s="29" t="str">
        <f aca="false">IF($B31="","",M31-N31)</f>
        <v/>
      </c>
      <c r="P31" s="28" t="str">
        <f aca="false">IF($B31="","",SUMIFS(거래내역!$H$2:$H$501,거래내역!$D$2:$D$501,$B31,거래내역!$C$2:$C$501,2030,거래내역!$F$2:$F$501,"수익"))</f>
        <v/>
      </c>
      <c r="Q31" s="28" t="str">
        <f aca="false">IF($B31="","",SUMIFS(거래내역!$H$2:$H$501,거래내역!$D$2:$D$501,$B31,거래내역!$C$2:$C$501,2030,거래내역!$F$2:$F$501,"비용"))</f>
        <v/>
      </c>
      <c r="R31" s="29" t="str">
        <f aca="false">IF($B31="","",P31-Q31)</f>
        <v/>
      </c>
      <c r="S31" s="28" t="str">
        <f aca="false">IF($B31="","",SUMIFS(거래내역!$H$2:$H$501,거래내역!$D$2:$D$501,$B31,거래내역!$F$2:$F$501,"수익"))</f>
        <v/>
      </c>
      <c r="T31" s="28" t="str">
        <f aca="false">IF($B31="","",SUMIFS(거래내역!$H$2:$H$501,거래내역!$D$2:$D$501,$B31,거래내역!$F$2:$F$501,"비용"))</f>
        <v/>
      </c>
      <c r="U31" s="29" t="str">
        <f aca="false">IF($B31="","",S31-T31)</f>
        <v/>
      </c>
      <c r="V31" s="30" t="str">
        <f aca="false">IF(OR($B31="",S31=0),"",U31/S31)</f>
        <v/>
      </c>
    </row>
    <row r="32" customFormat="false" ht="15" hidden="false" customHeight="false" outlineLevel="0" collapsed="false">
      <c r="B32" s="27" t="str">
        <f aca="false">IF(프로젝트목록!B30="","",프로젝트목록!B30)</f>
        <v/>
      </c>
      <c r="C32" s="27" t="str">
        <f aca="false">IF(프로젝트목록!B30="","",프로젝트목록!C30)</f>
        <v/>
      </c>
      <c r="D32" s="28" t="str">
        <f aca="false">IF($B32="","",SUMIFS(거래내역!$H$2:$H$501,거래내역!$D$2:$D$501,$B32,거래내역!$C$2:$C$501,2026,거래내역!$F$2:$F$501,"수익"))</f>
        <v/>
      </c>
      <c r="E32" s="28" t="str">
        <f aca="false">IF($B32="","",SUMIFS(거래내역!$H$2:$H$501,거래내역!$D$2:$D$501,$B32,거래내역!$C$2:$C$501,2026,거래내역!$F$2:$F$501,"비용"))</f>
        <v/>
      </c>
      <c r="F32" s="29" t="str">
        <f aca="false">IF($B32="","",D32-E32)</f>
        <v/>
      </c>
      <c r="G32" s="28" t="str">
        <f aca="false">IF($B32="","",SUMIFS(거래내역!$H$2:$H$501,거래내역!$D$2:$D$501,$B32,거래내역!$C$2:$C$501,2027,거래내역!$F$2:$F$501,"수익"))</f>
        <v/>
      </c>
      <c r="H32" s="28" t="str">
        <f aca="false">IF($B32="","",SUMIFS(거래내역!$H$2:$H$501,거래내역!$D$2:$D$501,$B32,거래내역!$C$2:$C$501,2027,거래내역!$F$2:$F$501,"비용"))</f>
        <v/>
      </c>
      <c r="I32" s="29" t="str">
        <f aca="false">IF($B32="","",G32-H32)</f>
        <v/>
      </c>
      <c r="J32" s="28" t="str">
        <f aca="false">IF($B32="","",SUMIFS(거래내역!$H$2:$H$501,거래내역!$D$2:$D$501,$B32,거래내역!$C$2:$C$501,2028,거래내역!$F$2:$F$501,"수익"))</f>
        <v/>
      </c>
      <c r="K32" s="28" t="str">
        <f aca="false">IF($B32="","",SUMIFS(거래내역!$H$2:$H$501,거래내역!$D$2:$D$501,$B32,거래내역!$C$2:$C$501,2028,거래내역!$F$2:$F$501,"비용"))</f>
        <v/>
      </c>
      <c r="L32" s="29" t="str">
        <f aca="false">IF($B32="","",J32-K32)</f>
        <v/>
      </c>
      <c r="M32" s="28" t="str">
        <f aca="false">IF($B32="","",SUMIFS(거래내역!$H$2:$H$501,거래내역!$D$2:$D$501,$B32,거래내역!$C$2:$C$501,2029,거래내역!$F$2:$F$501,"수익"))</f>
        <v/>
      </c>
      <c r="N32" s="28" t="str">
        <f aca="false">IF($B32="","",SUMIFS(거래내역!$H$2:$H$501,거래내역!$D$2:$D$501,$B32,거래내역!$C$2:$C$501,2029,거래내역!$F$2:$F$501,"비용"))</f>
        <v/>
      </c>
      <c r="O32" s="29" t="str">
        <f aca="false">IF($B32="","",M32-N32)</f>
        <v/>
      </c>
      <c r="P32" s="28" t="str">
        <f aca="false">IF($B32="","",SUMIFS(거래내역!$H$2:$H$501,거래내역!$D$2:$D$501,$B32,거래내역!$C$2:$C$501,2030,거래내역!$F$2:$F$501,"수익"))</f>
        <v/>
      </c>
      <c r="Q32" s="28" t="str">
        <f aca="false">IF($B32="","",SUMIFS(거래내역!$H$2:$H$501,거래내역!$D$2:$D$501,$B32,거래내역!$C$2:$C$501,2030,거래내역!$F$2:$F$501,"비용"))</f>
        <v/>
      </c>
      <c r="R32" s="29" t="str">
        <f aca="false">IF($B32="","",P32-Q32)</f>
        <v/>
      </c>
      <c r="S32" s="28" t="str">
        <f aca="false">IF($B32="","",SUMIFS(거래내역!$H$2:$H$501,거래내역!$D$2:$D$501,$B32,거래내역!$F$2:$F$501,"수익"))</f>
        <v/>
      </c>
      <c r="T32" s="28" t="str">
        <f aca="false">IF($B32="","",SUMIFS(거래내역!$H$2:$H$501,거래내역!$D$2:$D$501,$B32,거래내역!$F$2:$F$501,"비용"))</f>
        <v/>
      </c>
      <c r="U32" s="29" t="str">
        <f aca="false">IF($B32="","",S32-T32)</f>
        <v/>
      </c>
      <c r="V32" s="30" t="str">
        <f aca="false">IF(OR($B32="",S32=0),"",U32/S32)</f>
        <v/>
      </c>
    </row>
    <row r="33" customFormat="false" ht="15" hidden="false" customHeight="false" outlineLevel="0" collapsed="false">
      <c r="B33" s="27" t="str">
        <f aca="false">IF(프로젝트목록!B31="","",프로젝트목록!B31)</f>
        <v/>
      </c>
      <c r="C33" s="27" t="str">
        <f aca="false">IF(프로젝트목록!B31="","",프로젝트목록!C31)</f>
        <v/>
      </c>
      <c r="D33" s="28" t="str">
        <f aca="false">IF($B33="","",SUMIFS(거래내역!$H$2:$H$501,거래내역!$D$2:$D$501,$B33,거래내역!$C$2:$C$501,2026,거래내역!$F$2:$F$501,"수익"))</f>
        <v/>
      </c>
      <c r="E33" s="28" t="str">
        <f aca="false">IF($B33="","",SUMIFS(거래내역!$H$2:$H$501,거래내역!$D$2:$D$501,$B33,거래내역!$C$2:$C$501,2026,거래내역!$F$2:$F$501,"비용"))</f>
        <v/>
      </c>
      <c r="F33" s="29" t="str">
        <f aca="false">IF($B33="","",D33-E33)</f>
        <v/>
      </c>
      <c r="G33" s="28" t="str">
        <f aca="false">IF($B33="","",SUMIFS(거래내역!$H$2:$H$501,거래내역!$D$2:$D$501,$B33,거래내역!$C$2:$C$501,2027,거래내역!$F$2:$F$501,"수익"))</f>
        <v/>
      </c>
      <c r="H33" s="28" t="str">
        <f aca="false">IF($B33="","",SUMIFS(거래내역!$H$2:$H$501,거래내역!$D$2:$D$501,$B33,거래내역!$C$2:$C$501,2027,거래내역!$F$2:$F$501,"비용"))</f>
        <v/>
      </c>
      <c r="I33" s="29" t="str">
        <f aca="false">IF($B33="","",G33-H33)</f>
        <v/>
      </c>
      <c r="J33" s="28" t="str">
        <f aca="false">IF($B33="","",SUMIFS(거래내역!$H$2:$H$501,거래내역!$D$2:$D$501,$B33,거래내역!$C$2:$C$501,2028,거래내역!$F$2:$F$501,"수익"))</f>
        <v/>
      </c>
      <c r="K33" s="28" t="str">
        <f aca="false">IF($B33="","",SUMIFS(거래내역!$H$2:$H$501,거래내역!$D$2:$D$501,$B33,거래내역!$C$2:$C$501,2028,거래내역!$F$2:$F$501,"비용"))</f>
        <v/>
      </c>
      <c r="L33" s="29" t="str">
        <f aca="false">IF($B33="","",J33-K33)</f>
        <v/>
      </c>
      <c r="M33" s="28" t="str">
        <f aca="false">IF($B33="","",SUMIFS(거래내역!$H$2:$H$501,거래내역!$D$2:$D$501,$B33,거래내역!$C$2:$C$501,2029,거래내역!$F$2:$F$501,"수익"))</f>
        <v/>
      </c>
      <c r="N33" s="28" t="str">
        <f aca="false">IF($B33="","",SUMIFS(거래내역!$H$2:$H$501,거래내역!$D$2:$D$501,$B33,거래내역!$C$2:$C$501,2029,거래내역!$F$2:$F$501,"비용"))</f>
        <v/>
      </c>
      <c r="O33" s="29" t="str">
        <f aca="false">IF($B33="","",M33-N33)</f>
        <v/>
      </c>
      <c r="P33" s="28" t="str">
        <f aca="false">IF($B33="","",SUMIFS(거래내역!$H$2:$H$501,거래내역!$D$2:$D$501,$B33,거래내역!$C$2:$C$501,2030,거래내역!$F$2:$F$501,"수익"))</f>
        <v/>
      </c>
      <c r="Q33" s="28" t="str">
        <f aca="false">IF($B33="","",SUMIFS(거래내역!$H$2:$H$501,거래내역!$D$2:$D$501,$B33,거래내역!$C$2:$C$501,2030,거래내역!$F$2:$F$501,"비용"))</f>
        <v/>
      </c>
      <c r="R33" s="29" t="str">
        <f aca="false">IF($B33="","",P33-Q33)</f>
        <v/>
      </c>
      <c r="S33" s="28" t="str">
        <f aca="false">IF($B33="","",SUMIFS(거래내역!$H$2:$H$501,거래내역!$D$2:$D$501,$B33,거래내역!$F$2:$F$501,"수익"))</f>
        <v/>
      </c>
      <c r="T33" s="28" t="str">
        <f aca="false">IF($B33="","",SUMIFS(거래내역!$H$2:$H$501,거래내역!$D$2:$D$501,$B33,거래내역!$F$2:$F$501,"비용"))</f>
        <v/>
      </c>
      <c r="U33" s="29" t="str">
        <f aca="false">IF($B33="","",S33-T33)</f>
        <v/>
      </c>
      <c r="V33" s="30" t="str">
        <f aca="false">IF(OR($B33="",S33=0),"",U33/S33)</f>
        <v/>
      </c>
    </row>
    <row r="34" customFormat="false" ht="15" hidden="false" customHeight="false" outlineLevel="0" collapsed="false">
      <c r="B34" s="31" t="s">
        <v>79</v>
      </c>
      <c r="C34" s="32"/>
      <c r="D34" s="33" t="n">
        <f aca="false">SUM(D4:D33)</f>
        <v>1250000</v>
      </c>
      <c r="E34" s="33" t="n">
        <f aca="false">SUM(E4:E33)</f>
        <v>180000</v>
      </c>
      <c r="F34" s="33" t="n">
        <f aca="false">SUM(F4:F33)</f>
        <v>1070000</v>
      </c>
      <c r="G34" s="33" t="n">
        <f aca="false">SUM(G4:G33)</f>
        <v>0</v>
      </c>
      <c r="H34" s="33" t="n">
        <f aca="false">SUM(H4:H33)</f>
        <v>0</v>
      </c>
      <c r="I34" s="33" t="n">
        <f aca="false">SUM(I4:I33)</f>
        <v>0</v>
      </c>
      <c r="J34" s="33" t="n">
        <f aca="false">SUM(J4:J33)</f>
        <v>0</v>
      </c>
      <c r="K34" s="33" t="n">
        <f aca="false">SUM(K4:K33)</f>
        <v>0</v>
      </c>
      <c r="L34" s="33" t="n">
        <f aca="false">SUM(L4:L33)</f>
        <v>0</v>
      </c>
      <c r="M34" s="33" t="n">
        <f aca="false">SUM(M4:M33)</f>
        <v>0</v>
      </c>
      <c r="N34" s="33" t="n">
        <f aca="false">SUM(N4:N33)</f>
        <v>0</v>
      </c>
      <c r="O34" s="33" t="n">
        <f aca="false">SUM(O4:O33)</f>
        <v>0</v>
      </c>
      <c r="P34" s="33" t="n">
        <f aca="false">SUM(P4:P33)</f>
        <v>0</v>
      </c>
      <c r="Q34" s="33" t="n">
        <f aca="false">SUM(Q4:Q33)</f>
        <v>0</v>
      </c>
      <c r="R34" s="33" t="n">
        <f aca="false">SUM(R4:R33)</f>
        <v>0</v>
      </c>
      <c r="S34" s="33" t="n">
        <f aca="false">SUM(S4:S33)</f>
        <v>1250000</v>
      </c>
      <c r="T34" s="33" t="n">
        <f aca="false">SUM(T4:T33)</f>
        <v>180000</v>
      </c>
      <c r="U34" s="33" t="n">
        <f aca="false">SUM(U4:U33)</f>
        <v>1070000</v>
      </c>
      <c r="V34" s="34" t="n">
        <f aca="false">IFERROR(U34/S34,"")</f>
        <v>0.856</v>
      </c>
    </row>
    <row r="36" customFormat="false" ht="15" hidden="false" customHeight="false" outlineLevel="0" collapsed="false">
      <c r="B36" s="35" t="s">
        <v>80</v>
      </c>
    </row>
  </sheetData>
  <mergeCells count="8">
    <mergeCell ref="B2:B3"/>
    <mergeCell ref="C2:C3"/>
    <mergeCell ref="D2:F2"/>
    <mergeCell ref="G2:I2"/>
    <mergeCell ref="J2:L2"/>
    <mergeCell ref="M2:O2"/>
    <mergeCell ref="P2:R2"/>
    <mergeCell ref="S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5"/>
  </cols>
  <sheetData>
    <row r="1" customFormat="false" ht="27.6" hidden="false" customHeight="false" outlineLevel="0" collapsed="false">
      <c r="B1" s="36" t="s">
        <v>81</v>
      </c>
    </row>
    <row r="2" customFormat="false" ht="15" hidden="false" customHeight="false" outlineLevel="0" collapsed="false">
      <c r="B2" s="37" t="s">
        <v>82</v>
      </c>
    </row>
    <row r="4" customFormat="false" ht="15" hidden="false" customHeight="false" outlineLevel="0" collapsed="false">
      <c r="B4" s="38" t="s">
        <v>83</v>
      </c>
      <c r="C4" s="39" t="s">
        <v>84</v>
      </c>
      <c r="D4" s="40" t="s">
        <v>74</v>
      </c>
      <c r="E4" s="41" t="s">
        <v>85</v>
      </c>
      <c r="F4" s="42" t="s">
        <v>86</v>
      </c>
      <c r="G4" s="42" t="s">
        <v>87</v>
      </c>
    </row>
    <row r="5" customFormat="false" ht="19.7" hidden="false" customHeight="false" outlineLevel="0" collapsed="false">
      <c r="B5" s="43" t="n">
        <f aca="false">연간요약!S34</f>
        <v>1250000</v>
      </c>
      <c r="C5" s="44" t="n">
        <f aca="false">연간요약!T34</f>
        <v>180000</v>
      </c>
      <c r="D5" s="45" t="n">
        <f aca="false">연간요약!U34</f>
        <v>1070000</v>
      </c>
      <c r="E5" s="46" t="n">
        <f aca="false">연간요약!V34</f>
        <v>0.856</v>
      </c>
      <c r="F5" s="47" t="n">
        <f aca="false">COUNTIF(프로젝트목록!C2:C201,"진행중")</f>
        <v>1</v>
      </c>
      <c r="G5" s="47" t="n">
        <f aca="false">COUNTIF(프로젝트목록!C2:C201,"진행완료")</f>
        <v>0</v>
      </c>
    </row>
    <row r="9" customFormat="false" ht="15" hidden="false" customHeight="false" outlineLevel="0" collapsed="false">
      <c r="B9" s="48" t="s">
        <v>88</v>
      </c>
    </row>
    <row r="10" customFormat="false" ht="15" hidden="false" customHeight="false" outlineLevel="0" collapsed="false">
      <c r="B10" s="49" t="s">
        <v>42</v>
      </c>
      <c r="C10" s="49" t="n">
        <v>2026</v>
      </c>
      <c r="D10" s="49" t="n">
        <v>2027</v>
      </c>
      <c r="E10" s="49" t="n">
        <v>2028</v>
      </c>
      <c r="F10" s="49" t="n">
        <v>2029</v>
      </c>
      <c r="G10" s="49" t="n">
        <v>2030</v>
      </c>
    </row>
    <row r="11" customFormat="false" ht="15" hidden="false" customHeight="false" outlineLevel="0" collapsed="false">
      <c r="B11" s="50" t="s">
        <v>48</v>
      </c>
      <c r="C11" s="28" t="n">
        <f aca="false">SUMIFS(거래내역!$H$2:$H$501,거래내역!$C$2:$C$501,2026,거래내역!$F$2:$F$501,"수익")</f>
        <v>1250000</v>
      </c>
      <c r="D11" s="28" t="n">
        <f aca="false">SUMIFS(거래내역!$H$2:$H$501,거래내역!$C$2:$C$501,2027,거래내역!$F$2:$F$501,"수익")</f>
        <v>0</v>
      </c>
      <c r="E11" s="28" t="n">
        <f aca="false">SUMIFS(거래내역!$H$2:$H$501,거래내역!$C$2:$C$501,2028,거래내역!$F$2:$F$501,"수익")</f>
        <v>0</v>
      </c>
      <c r="F11" s="28" t="n">
        <f aca="false">SUMIFS(거래내역!$H$2:$H$501,거래내역!$C$2:$C$501,2029,거래내역!$F$2:$F$501,"수익")</f>
        <v>0</v>
      </c>
      <c r="G11" s="28" t="n">
        <f aca="false">SUMIFS(거래내역!$H$2:$H$501,거래내역!$C$2:$C$501,2030,거래내역!$F$2:$F$501,"수익")</f>
        <v>0</v>
      </c>
    </row>
    <row r="12" customFormat="false" ht="15" hidden="false" customHeight="false" outlineLevel="0" collapsed="false">
      <c r="B12" s="50" t="s">
        <v>62</v>
      </c>
      <c r="C12" s="28" t="n">
        <f aca="false">SUMIFS(거래내역!$H$2:$H$501,거래내역!$C$2:$C$501,2026,거래내역!$F$2:$F$501,"비용")</f>
        <v>180000</v>
      </c>
      <c r="D12" s="28" t="n">
        <f aca="false">SUMIFS(거래내역!$H$2:$H$501,거래내역!$C$2:$C$501,2027,거래내역!$F$2:$F$501,"비용")</f>
        <v>0</v>
      </c>
      <c r="E12" s="28" t="n">
        <f aca="false">SUMIFS(거래내역!$H$2:$H$501,거래내역!$C$2:$C$501,2028,거래내역!$F$2:$F$501,"비용")</f>
        <v>0</v>
      </c>
      <c r="F12" s="28" t="n">
        <f aca="false">SUMIFS(거래내역!$H$2:$H$501,거래내역!$C$2:$C$501,2029,거래내역!$F$2:$F$501,"비용")</f>
        <v>0</v>
      </c>
      <c r="G12" s="28" t="n">
        <f aca="false">SUMIFS(거래내역!$H$2:$H$501,거래내역!$C$2:$C$501,2030,거래내역!$F$2:$F$501,"비용")</f>
        <v>0</v>
      </c>
    </row>
    <row r="13" customFormat="false" ht="15" hidden="false" customHeight="false" outlineLevel="0" collapsed="false">
      <c r="B13" s="50" t="s">
        <v>74</v>
      </c>
      <c r="C13" s="29" t="n">
        <f aca="false">C11-C12</f>
        <v>1070000</v>
      </c>
      <c r="D13" s="29" t="n">
        <f aca="false">D11-D12</f>
        <v>0</v>
      </c>
      <c r="E13" s="29" t="n">
        <f aca="false">E11-E12</f>
        <v>0</v>
      </c>
      <c r="F13" s="29" t="n">
        <f aca="false">F11-F12</f>
        <v>0</v>
      </c>
      <c r="G13" s="29" t="n">
        <f aca="false">G11-G12</f>
        <v>0</v>
      </c>
    </row>
    <row r="33" customFormat="false" ht="15" hidden="false" customHeight="false" outlineLevel="0" collapsed="false">
      <c r="B33" s="5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2026-08-14T04:00:57Z</dcterms:created>
  <dc:creator>openpyxl</dc:creator>
  <dc:description/>
  <dc:language>en-US</dc:language>
  <cp:lastModifiedBy/>
  <dcterms:modified xsi:type="dcterms:W3CDTF">2026-08-14T04:01:00Z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